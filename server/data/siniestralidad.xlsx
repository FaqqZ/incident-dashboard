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gar\Documents\SMT\SS de Seguridad\COMM\Area Estadística\"/>
    </mc:Choice>
  </mc:AlternateContent>
  <xr:revisionPtr revIDLastSave="0" documentId="8_{F8E7D417-F44B-4213-81F6-E5B2143E27A7}" xr6:coauthVersionLast="47" xr6:coauthVersionMax="47" xr10:uidLastSave="{00000000-0000-0000-0000-000000000000}"/>
  <bookViews>
    <workbookView xWindow="-108" yWindow="-108" windowWidth="23256" windowHeight="12456" xr2:uid="{D8F094AE-12B4-4E38-B508-825E5C46629D}"/>
  </bookViews>
  <sheets>
    <sheet name="Hoja2" sheetId="1" r:id="rId1"/>
  </sheets>
  <externalReferences>
    <externalReference r:id="rId2"/>
  </externalReferences>
  <definedNames>
    <definedName name="_xlnm._FilterDatabase" localSheetId="0" hidden="1">Hoja2!$A$1:$I$246</definedName>
    <definedName name="Dias_Grafico">'[1]Análisis Descriptivo'!$A$25:$A$31</definedName>
    <definedName name="Meses_Grafico">_xlfn.ANCHORARRAY('[1]Análisis Descriptivo'!$A$9)</definedName>
    <definedName name="Promedio_Dia_Grafico">'[1]Análisis Descriptivo'!$D$25:$D$31</definedName>
    <definedName name="SV_Grafico">_xlfn.ANCHORARRAY('[1]Análisis Descriptivo'!$B$9)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1" l="1" a="1"/>
  <c r="B55" i="1" l="1"/>
  <c r="B92" i="1"/>
  <c r="B4" i="1"/>
  <c r="B12" i="1"/>
  <c r="B20" i="1"/>
  <c r="B28" i="1"/>
  <c r="B36" i="1"/>
  <c r="B44" i="1"/>
  <c r="B51" i="1"/>
  <c r="B57" i="1"/>
  <c r="B63" i="1"/>
  <c r="B65" i="1"/>
  <c r="B67" i="1"/>
  <c r="B59" i="1"/>
  <c r="B9" i="1"/>
  <c r="B17" i="1"/>
  <c r="B25" i="1"/>
  <c r="B33" i="1"/>
  <c r="B41" i="1"/>
  <c r="B6" i="1"/>
  <c r="B14" i="1"/>
  <c r="B22" i="1"/>
  <c r="B30" i="1"/>
  <c r="B38" i="1"/>
  <c r="B46" i="1"/>
  <c r="B158" i="1"/>
  <c r="B3" i="1"/>
  <c r="B11" i="1"/>
  <c r="B19" i="1"/>
  <c r="B27" i="1"/>
  <c r="B35" i="1"/>
  <c r="B43" i="1"/>
  <c r="B68" i="1"/>
  <c r="B70" i="1"/>
  <c r="B86" i="1"/>
  <c r="B113" i="1"/>
  <c r="B50" i="1"/>
  <c r="B52" i="1"/>
  <c r="B100" i="1"/>
  <c r="B126" i="1"/>
  <c r="B8" i="1"/>
  <c r="B16" i="1"/>
  <c r="B24" i="1"/>
  <c r="B32" i="1"/>
  <c r="B40" i="1"/>
  <c r="B54" i="1"/>
  <c r="B58" i="1"/>
  <c r="B60" i="1"/>
  <c r="B87" i="1"/>
  <c r="B163" i="1"/>
  <c r="B62" i="1"/>
  <c r="B95" i="1"/>
  <c r="B128" i="1"/>
  <c r="B238" i="1"/>
  <c r="B230" i="1"/>
  <c r="B222" i="1"/>
  <c r="B214" i="1"/>
  <c r="B206" i="1"/>
  <c r="B198" i="1"/>
  <c r="B190" i="1"/>
  <c r="B182" i="1"/>
  <c r="B174" i="1"/>
  <c r="B241" i="1"/>
  <c r="B233" i="1"/>
  <c r="B225" i="1"/>
  <c r="B217" i="1"/>
  <c r="B209" i="1"/>
  <c r="B201" i="1"/>
  <c r="B193" i="1"/>
  <c r="B185" i="1"/>
  <c r="B177" i="1"/>
  <c r="B169" i="1"/>
  <c r="B161" i="1"/>
  <c r="B153" i="1"/>
  <c r="B145" i="1"/>
  <c r="B137" i="1"/>
  <c r="B129" i="1"/>
  <c r="B244" i="1"/>
  <c r="B236" i="1"/>
  <c r="B228" i="1"/>
  <c r="B220" i="1"/>
  <c r="B212" i="1"/>
  <c r="B204" i="1"/>
  <c r="B196" i="1"/>
  <c r="B188" i="1"/>
  <c r="B180" i="1"/>
  <c r="B172" i="1"/>
  <c r="B164" i="1"/>
  <c r="B156" i="1"/>
  <c r="B148" i="1"/>
  <c r="B140" i="1"/>
  <c r="B239" i="1"/>
  <c r="B231" i="1"/>
  <c r="B223" i="1"/>
  <c r="B215" i="1"/>
  <c r="B207" i="1"/>
  <c r="B199" i="1"/>
  <c r="B191" i="1"/>
  <c r="B183" i="1"/>
  <c r="B175" i="1"/>
  <c r="B167" i="1"/>
  <c r="B159" i="1"/>
  <c r="B151" i="1"/>
  <c r="B143" i="1"/>
  <c r="B135" i="1"/>
  <c r="B127" i="1"/>
  <c r="B119" i="1"/>
  <c r="B111" i="1"/>
  <c r="B242" i="1"/>
  <c r="B234" i="1"/>
  <c r="B226" i="1"/>
  <c r="B218" i="1"/>
  <c r="B210" i="1"/>
  <c r="B202" i="1"/>
  <c r="B194" i="1"/>
  <c r="B186" i="1"/>
  <c r="B178" i="1"/>
  <c r="B245" i="1"/>
  <c r="B237" i="1"/>
  <c r="B229" i="1"/>
  <c r="B221" i="1"/>
  <c r="B213" i="1"/>
  <c r="B205" i="1"/>
  <c r="B197" i="1"/>
  <c r="B189" i="1"/>
  <c r="B181" i="1"/>
  <c r="B173" i="1"/>
  <c r="B165" i="1"/>
  <c r="B157" i="1"/>
  <c r="B149" i="1"/>
  <c r="B141" i="1"/>
  <c r="B133" i="1"/>
  <c r="B125" i="1"/>
  <c r="B240" i="1"/>
  <c r="B232" i="1"/>
  <c r="B224" i="1"/>
  <c r="B216" i="1"/>
  <c r="B208" i="1"/>
  <c r="B200" i="1"/>
  <c r="B192" i="1"/>
  <c r="B184" i="1"/>
  <c r="B176" i="1"/>
  <c r="B168" i="1"/>
  <c r="B160" i="1"/>
  <c r="B243" i="1"/>
  <c r="B227" i="1"/>
  <c r="B155" i="1"/>
  <c r="B124" i="1"/>
  <c r="B122" i="1"/>
  <c r="B130" i="1"/>
  <c r="B120" i="1"/>
  <c r="B106" i="1"/>
  <c r="B98" i="1"/>
  <c r="B90" i="1"/>
  <c r="B82" i="1"/>
  <c r="B74" i="1"/>
  <c r="B66" i="1"/>
  <c r="B235" i="1"/>
  <c r="B132" i="1"/>
  <c r="B170" i="1"/>
  <c r="B150" i="1"/>
  <c r="B136" i="1"/>
  <c r="B134" i="1"/>
  <c r="B118" i="1"/>
  <c r="B109" i="1"/>
  <c r="B101" i="1"/>
  <c r="B93" i="1"/>
  <c r="B85" i="1"/>
  <c r="B77" i="1"/>
  <c r="B69" i="1"/>
  <c r="B61" i="1"/>
  <c r="B53" i="1"/>
  <c r="B162" i="1"/>
  <c r="B152" i="1"/>
  <c r="B138" i="1"/>
  <c r="B116" i="1"/>
  <c r="B104" i="1"/>
  <c r="B96" i="1"/>
  <c r="B88" i="1"/>
  <c r="B80" i="1"/>
  <c r="B72" i="1"/>
  <c r="B64" i="1"/>
  <c r="B56" i="1"/>
  <c r="B48" i="1"/>
  <c r="B187" i="1"/>
  <c r="B179" i="1"/>
  <c r="B114" i="1"/>
  <c r="B154" i="1"/>
  <c r="B147" i="1"/>
  <c r="B123" i="1"/>
  <c r="B112" i="1"/>
  <c r="B107" i="1"/>
  <c r="B99" i="1"/>
  <c r="B91" i="1"/>
  <c r="B83" i="1"/>
  <c r="B75" i="1"/>
  <c r="B195" i="1"/>
  <c r="B131" i="1"/>
  <c r="B121" i="1"/>
  <c r="B110" i="1"/>
  <c r="B102" i="1"/>
  <c r="B94" i="1"/>
  <c r="B203" i="1"/>
  <c r="B142" i="1"/>
  <c r="B166" i="1"/>
  <c r="B144" i="1"/>
  <c r="B117" i="1"/>
  <c r="B105" i="1"/>
  <c r="B97" i="1"/>
  <c r="B89" i="1"/>
  <c r="B211" i="1"/>
  <c r="B219" i="1"/>
  <c r="B146" i="1"/>
  <c r="B139" i="1"/>
  <c r="B5" i="1"/>
  <c r="B13" i="1"/>
  <c r="B21" i="1"/>
  <c r="B29" i="1"/>
  <c r="B37" i="1"/>
  <c r="B45" i="1"/>
  <c r="B73" i="1"/>
  <c r="B78" i="1"/>
  <c r="B84" i="1"/>
  <c r="A2" i="1"/>
  <c r="B71" i="1"/>
  <c r="B81" i="1"/>
  <c r="B108" i="1"/>
  <c r="B115" i="1"/>
  <c r="B10" i="1"/>
  <c r="B18" i="1"/>
  <c r="B26" i="1"/>
  <c r="B34" i="1"/>
  <c r="B42" i="1"/>
  <c r="B47" i="1"/>
  <c r="B76" i="1"/>
  <c r="B7" i="1"/>
  <c r="B15" i="1"/>
  <c r="B23" i="1"/>
  <c r="B31" i="1"/>
  <c r="B39" i="1"/>
  <c r="B49" i="1"/>
  <c r="B79" i="1"/>
  <c r="B103" i="1"/>
  <c r="B171" i="1"/>
  <c r="B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<sst xmlns="http://schemas.openxmlformats.org/spreadsheetml/2006/main" count="741" uniqueCount="20">
  <si>
    <t>Dispositivo</t>
  </si>
  <si>
    <t>Ubicación</t>
  </si>
  <si>
    <t>SV Acumulados</t>
  </si>
  <si>
    <t>SV promedio mensual</t>
  </si>
  <si>
    <t>Meses con SV</t>
  </si>
  <si>
    <t>Persistencia %</t>
  </si>
  <si>
    <t>Clase de recurrencia</t>
  </si>
  <si>
    <t>Color</t>
  </si>
  <si>
    <t>Prioridad piloto</t>
  </si>
  <si>
    <t>BAJA</t>
  </si>
  <si>
    <t>SIN SEÑAL</t>
  </si>
  <si>
    <t>SIN PRIORIDAD</t>
  </si>
  <si>
    <t>ALTA</t>
  </si>
  <si>
    <t>NARANJA</t>
  </si>
  <si>
    <t>RELEVANTE</t>
  </si>
  <si>
    <t>AMARILLO</t>
  </si>
  <si>
    <t>MUY ALTA</t>
  </si>
  <si>
    <t>ROJO</t>
  </si>
  <si>
    <t>PRIORIDAD 1</t>
  </si>
  <si>
    <t>PRIORIDAD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</si>
</sst>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rgar\Documents\SMT\SS%20de%20Seguridad\COMM\Area%20Estad&#237;stica\COM%20indicadores%20de%20siniestralidad%20vial%20en%20SMT.xlsx" TargetMode="External"/><Relationship Id="rId1" Type="http://schemas.openxmlformats.org/officeDocument/2006/relationships/externalLinkPath" Target="COM%20indicadores%20de%20siniestralidad%20vial%20en%20SM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 original"/>
      <sheetName val="Hoja1"/>
      <sheetName val="Análisis Descriptivo"/>
      <sheetName val="Hoja2"/>
      <sheetName val="Selección Piloto"/>
      <sheetName val="Tablas auxiliares"/>
    </sheetNames>
    <sheetDataSet>
      <sheetData sheetId="0"/>
      <sheetData sheetId="1"/>
      <sheetData sheetId="2">
        <row r="9">
          <cell r="A9" t="str">
            <v>Enero</v>
          </cell>
          <cell r="B9">
            <v>48</v>
          </cell>
        </row>
        <row r="25">
          <cell r="A25" t="str">
            <v>Lunes</v>
          </cell>
          <cell r="D25">
            <v>3.0333333333333332</v>
          </cell>
        </row>
        <row r="26">
          <cell r="A26" t="str">
            <v>Martes</v>
          </cell>
          <cell r="D26">
            <v>2.8666666666666667</v>
          </cell>
        </row>
        <row r="27">
          <cell r="A27" t="str">
            <v>Miércoles</v>
          </cell>
          <cell r="D27">
            <v>2.8333333333333335</v>
          </cell>
        </row>
        <row r="28">
          <cell r="A28" t="str">
            <v>Jueves</v>
          </cell>
          <cell r="D28">
            <v>2.903225806451613</v>
          </cell>
        </row>
        <row r="29">
          <cell r="A29" t="str">
            <v>Viernes</v>
          </cell>
          <cell r="D29">
            <v>2.6774193548387095</v>
          </cell>
        </row>
        <row r="30">
          <cell r="A30" t="str">
            <v>Sábado</v>
          </cell>
          <cell r="D30">
            <v>1.1333333333333333</v>
          </cell>
        </row>
        <row r="31">
          <cell r="A31" t="str">
            <v>Domingo</v>
          </cell>
          <cell r="D31">
            <v>0.96666666666666667</v>
          </cell>
        </row>
      </sheetData>
      <sheetData sheetId="3"/>
      <sheetData sheetId="4"/>
      <sheetData sheetId="5">
        <row r="16">
          <cell r="C16">
            <v>7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32D83-2380-4D90-A3E6-82308A6F82E8}">
  <dimension ref="A1:I24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4" sqref="H4"/>
    </sheetView>
  </sheetViews>
  <sheetFormatPr baseColWidth="10" defaultRowHeight="14.4" x14ac:dyDescent="0.3"/>
  <cols>
    <col min="2" max="2" width="36.33203125" bestFit="1" customWidth="1"/>
    <col min="3" max="3" width="13.88671875" bestFit="1" customWidth="1"/>
    <col min="4" max="4" width="19.21875" bestFit="1" customWidth="1"/>
    <col min="5" max="5" width="12.109375" bestFit="1" customWidth="1"/>
    <col min="6" max="6" width="13.21875" bestFit="1" customWidth="1"/>
    <col min="7" max="7" width="18.109375" bestFit="1" customWidth="1"/>
    <col min="8" max="8" width="9.44140625" bestFit="1" customWidth="1"/>
    <col min="9" max="9" width="14" bestFit="1" customWidth="1"/>
  </cols>
  <sheetData>
    <row r="1" spans="1:9" x14ac:dyDescent="0.3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</row>
    <row r="2" spans="1:9" x14ac:dyDescent="0.3">
      <c r="A2" s="4" t="str" cm="1">
        <f t="array" ref="A2:A245">_xlfn._xlws.SORT(_xlfn.UNIQUE(_xlfn._xlws.FILTER([1]!Tabla2[dispositivo],(DATEVALUE(LEFT([1]!Tabla2[fecha],10))&gt;=DATE(2026,1,1))*(DATEVALUE(LEFT([1]!Tabla2[fecha],10))&lt;DATE(2026,'[1]Tablas auxiliares'!$C$16+1,1)),"")))</f>
        <v>CAM003</v>
      </c>
      <c r="B2" s="4" t="str">
        <f>_xlfn.XLOOKUP(A2,[1]!Tabla2[dispositivo],[1]!Tabla2[ubicación],"REVISAR")</f>
        <v>Gral. Paz y Entre Rios</v>
      </c>
      <c r="C2" s="5">
        <v>1</v>
      </c>
      <c r="D2" s="6">
        <v>0.14285714285714285</v>
      </c>
      <c r="E2" s="5">
        <v>1</v>
      </c>
      <c r="F2" s="7">
        <v>0.14285714285714285</v>
      </c>
      <c r="G2" s="8" t="s">
        <v>9</v>
      </c>
      <c r="H2" s="8" t="s">
        <v>10</v>
      </c>
      <c r="I2" s="8" t="s">
        <v>11</v>
      </c>
    </row>
    <row r="3" spans="1:9" x14ac:dyDescent="0.3">
      <c r="A3" s="4" t="str">
        <v>CAM006</v>
      </c>
      <c r="B3" s="4" t="str">
        <f>_xlfn.XLOOKUP(A3,[1]!Tabla2[dispositivo],[1]!Tabla2[ubicación],"REVISAR")</f>
        <v>Gral. Paz y Buenos Aires</v>
      </c>
      <c r="C3" s="5">
        <v>1</v>
      </c>
      <c r="D3" s="6">
        <v>0.14285714285714285</v>
      </c>
      <c r="E3" s="5">
        <v>1</v>
      </c>
      <c r="F3" s="7">
        <v>0.14285714285714285</v>
      </c>
      <c r="G3" s="8" t="s">
        <v>9</v>
      </c>
      <c r="H3" s="8" t="s">
        <v>10</v>
      </c>
      <c r="I3" s="8" t="s">
        <v>11</v>
      </c>
    </row>
    <row r="4" spans="1:9" x14ac:dyDescent="0.3">
      <c r="A4" s="4" t="str">
        <v>CAM007</v>
      </c>
      <c r="B4" s="4" t="str">
        <f>_xlfn.XLOOKUP(A4,[1]!Tabla2[dispositivo],[1]!Tabla2[ubicación],"REVISAR")</f>
        <v>Gral. Paz y Jujuy</v>
      </c>
      <c r="C4" s="5">
        <v>2</v>
      </c>
      <c r="D4" s="6">
        <v>0.2857142857142857</v>
      </c>
      <c r="E4" s="5">
        <v>2</v>
      </c>
      <c r="F4" s="7">
        <v>0.2857142857142857</v>
      </c>
      <c r="G4" s="8" t="s">
        <v>9</v>
      </c>
      <c r="H4" s="8" t="s">
        <v>10</v>
      </c>
      <c r="I4" s="8" t="s">
        <v>11</v>
      </c>
    </row>
    <row r="5" spans="1:9" x14ac:dyDescent="0.3">
      <c r="A5" s="4" t="str">
        <v>CAM008</v>
      </c>
      <c r="B5" s="4" t="str">
        <f>_xlfn.XLOOKUP(A5,[1]!Tabla2[dispositivo],[1]!Tabla2[ubicación],"REVISAR")</f>
        <v>Gral. Paz y 9 De Julio</v>
      </c>
      <c r="C5" s="5">
        <v>1</v>
      </c>
      <c r="D5" s="6">
        <v>0.14285714285714285</v>
      </c>
      <c r="E5" s="5">
        <v>1</v>
      </c>
      <c r="F5" s="7">
        <v>0.14285714285714285</v>
      </c>
      <c r="G5" s="8" t="s">
        <v>9</v>
      </c>
      <c r="H5" s="8" t="s">
        <v>10</v>
      </c>
      <c r="I5" s="8" t="s">
        <v>11</v>
      </c>
    </row>
    <row r="6" spans="1:9" x14ac:dyDescent="0.3">
      <c r="A6" s="4" t="str">
        <v>CAM009</v>
      </c>
      <c r="B6" s="4" t="str">
        <f>_xlfn.XLOOKUP(A6,[1]!Tabla2[dispositivo],[1]!Tabla2[ubicación],"REVISAR")</f>
        <v>Av. Roca y 9 De Julio</v>
      </c>
      <c r="C6" s="5">
        <v>1</v>
      </c>
      <c r="D6" s="6">
        <v>0.14285714285714285</v>
      </c>
      <c r="E6" s="5">
        <v>1</v>
      </c>
      <c r="F6" s="7">
        <v>0.14285714285714285</v>
      </c>
      <c r="G6" s="8" t="s">
        <v>9</v>
      </c>
      <c r="H6" s="8" t="s">
        <v>10</v>
      </c>
      <c r="I6" s="8" t="s">
        <v>11</v>
      </c>
    </row>
    <row r="7" spans="1:9" x14ac:dyDescent="0.3">
      <c r="A7" s="4" t="str">
        <v>CAM010</v>
      </c>
      <c r="B7" s="4" t="str">
        <f>_xlfn.XLOOKUP(A7,[1]!Tabla2[dispositivo],[1]!Tabla2[ubicación],"REVISAR")</f>
        <v>Plazoleta Belgrano 2</v>
      </c>
      <c r="C7" s="5">
        <v>1</v>
      </c>
      <c r="D7" s="6">
        <v>0.14285714285714285</v>
      </c>
      <c r="E7" s="5">
        <v>1</v>
      </c>
      <c r="F7" s="7">
        <v>0.14285714285714285</v>
      </c>
      <c r="G7" s="8" t="s">
        <v>9</v>
      </c>
      <c r="H7" s="8" t="s">
        <v>10</v>
      </c>
      <c r="I7" s="8" t="s">
        <v>11</v>
      </c>
    </row>
    <row r="8" spans="1:9" x14ac:dyDescent="0.3">
      <c r="A8" s="4" t="str">
        <v>CAM011</v>
      </c>
      <c r="B8" s="4" t="str">
        <f>_xlfn.XLOOKUP(A8,[1]!Tabla2[dispositivo],[1]!Tabla2[ubicación],"REVISAR")</f>
        <v>Jujuy y Crisostomo</v>
      </c>
      <c r="C8" s="5">
        <v>4</v>
      </c>
      <c r="D8" s="6">
        <v>0.5714285714285714</v>
      </c>
      <c r="E8" s="5">
        <v>2</v>
      </c>
      <c r="F8" s="7">
        <v>0.2857142857142857</v>
      </c>
      <c r="G8" s="8" t="s">
        <v>12</v>
      </c>
      <c r="H8" s="8" t="s">
        <v>13</v>
      </c>
      <c r="I8" s="8" t="s">
        <v>11</v>
      </c>
    </row>
    <row r="9" spans="1:9" x14ac:dyDescent="0.3">
      <c r="A9" s="4" t="str">
        <v>CAM016</v>
      </c>
      <c r="B9" s="4" t="str">
        <f>_xlfn.XLOOKUP(A9,[1]!Tabla2[dispositivo],[1]!Tabla2[ubicación],"REVISAR")</f>
        <v>Santiago y Salta</v>
      </c>
      <c r="C9" s="5">
        <v>1</v>
      </c>
      <c r="D9" s="6">
        <v>0.14285714285714285</v>
      </c>
      <c r="E9" s="5">
        <v>1</v>
      </c>
      <c r="F9" s="7">
        <v>0.14285714285714285</v>
      </c>
      <c r="G9" s="8" t="s">
        <v>9</v>
      </c>
      <c r="H9" s="8" t="s">
        <v>10</v>
      </c>
      <c r="I9" s="8" t="s">
        <v>11</v>
      </c>
    </row>
    <row r="10" spans="1:9" x14ac:dyDescent="0.3">
      <c r="A10" s="4" t="str">
        <v>CAM019</v>
      </c>
      <c r="B10" s="4" t="str">
        <f>_xlfn.XLOOKUP(A10,[1]!Tabla2[dispositivo],[1]!Tabla2[ubicación],"REVISAR")</f>
        <v>San Juan y Muñecas</v>
      </c>
      <c r="C10" s="5">
        <v>1</v>
      </c>
      <c r="D10" s="6">
        <v>0.14285714285714285</v>
      </c>
      <c r="E10" s="5">
        <v>1</v>
      </c>
      <c r="F10" s="7">
        <v>0.14285714285714285</v>
      </c>
      <c r="G10" s="8" t="s">
        <v>9</v>
      </c>
      <c r="H10" s="8" t="s">
        <v>10</v>
      </c>
      <c r="I10" s="8" t="s">
        <v>11</v>
      </c>
    </row>
    <row r="11" spans="1:9" x14ac:dyDescent="0.3">
      <c r="A11" s="4" t="str">
        <v>CAM022</v>
      </c>
      <c r="B11" s="4" t="str">
        <f>_xlfn.XLOOKUP(A11,[1]!Tabla2[dispositivo],[1]!Tabla2[ubicación],"REVISAR")</f>
        <v>Plazoleta Belgrano 3</v>
      </c>
      <c r="C11" s="5">
        <v>1</v>
      </c>
      <c r="D11" s="6">
        <v>0.14285714285714285</v>
      </c>
      <c r="E11" s="5">
        <v>1</v>
      </c>
      <c r="F11" s="7">
        <v>0.14285714285714285</v>
      </c>
      <c r="G11" s="8" t="s">
        <v>9</v>
      </c>
      <c r="H11" s="8" t="s">
        <v>10</v>
      </c>
      <c r="I11" s="8" t="s">
        <v>11</v>
      </c>
    </row>
    <row r="12" spans="1:9" x14ac:dyDescent="0.3">
      <c r="A12" s="4" t="str">
        <v>CAM023</v>
      </c>
      <c r="B12" s="4" t="str">
        <f>_xlfn.XLOOKUP(A12,[1]!Tabla2[dispositivo],[1]!Tabla2[ubicación],"REVISAR")</f>
        <v>25 De Mayo y Santiago</v>
      </c>
      <c r="C12" s="5">
        <v>1</v>
      </c>
      <c r="D12" s="6">
        <v>0.14285714285714285</v>
      </c>
      <c r="E12" s="5">
        <v>1</v>
      </c>
      <c r="F12" s="7">
        <v>0.14285714285714285</v>
      </c>
      <c r="G12" s="8" t="s">
        <v>9</v>
      </c>
      <c r="H12" s="8" t="s">
        <v>10</v>
      </c>
      <c r="I12" s="8" t="s">
        <v>11</v>
      </c>
    </row>
    <row r="13" spans="1:9" x14ac:dyDescent="0.3">
      <c r="A13" s="4" t="str">
        <v>CAM025</v>
      </c>
      <c r="B13" s="4" t="str">
        <f>_xlfn.XLOOKUP(A13,[1]!Tabla2[dispositivo],[1]!Tabla2[ubicación],"REVISAR")</f>
        <v>Santiago y Maipu</v>
      </c>
      <c r="C13" s="5">
        <v>2</v>
      </c>
      <c r="D13" s="6">
        <v>0.2857142857142857</v>
      </c>
      <c r="E13" s="5">
        <v>2</v>
      </c>
      <c r="F13" s="7">
        <v>0.2857142857142857</v>
      </c>
      <c r="G13" s="8" t="s">
        <v>9</v>
      </c>
      <c r="H13" s="8" t="s">
        <v>10</v>
      </c>
      <c r="I13" s="8" t="s">
        <v>11</v>
      </c>
    </row>
    <row r="14" spans="1:9" x14ac:dyDescent="0.3">
      <c r="A14" s="4" t="str">
        <v>CAM026</v>
      </c>
      <c r="B14" s="4" t="str">
        <f>_xlfn.XLOOKUP(A14,[1]!Tabla2[dispositivo],[1]!Tabla2[ubicación],"REVISAR")</f>
        <v>Salta y San Juan</v>
      </c>
      <c r="C14" s="5">
        <v>3</v>
      </c>
      <c r="D14" s="6">
        <v>0.42857142857142855</v>
      </c>
      <c r="E14" s="5">
        <v>2</v>
      </c>
      <c r="F14" s="7">
        <v>0.2857142857142857</v>
      </c>
      <c r="G14" s="8" t="s">
        <v>14</v>
      </c>
      <c r="H14" s="8" t="s">
        <v>15</v>
      </c>
      <c r="I14" s="8" t="s">
        <v>11</v>
      </c>
    </row>
    <row r="15" spans="1:9" x14ac:dyDescent="0.3">
      <c r="A15" s="4" t="str">
        <v>CAM028</v>
      </c>
      <c r="B15" s="4" t="str">
        <f>_xlfn.XLOOKUP(A15,[1]!Tabla2[dispositivo],[1]!Tabla2[ubicación],"REVISAR")</f>
        <v>Crisostomo y Buenos Aires (1)</v>
      </c>
      <c r="C15" s="5">
        <v>1</v>
      </c>
      <c r="D15" s="6">
        <v>0.14285714285714285</v>
      </c>
      <c r="E15" s="5">
        <v>1</v>
      </c>
      <c r="F15" s="7">
        <v>0.14285714285714285</v>
      </c>
      <c r="G15" s="8" t="s">
        <v>9</v>
      </c>
      <c r="H15" s="8" t="s">
        <v>10</v>
      </c>
      <c r="I15" s="8" t="s">
        <v>11</v>
      </c>
    </row>
    <row r="16" spans="1:9" x14ac:dyDescent="0.3">
      <c r="A16" s="4" t="str">
        <v>CAM033</v>
      </c>
      <c r="B16" s="4" t="str">
        <f>_xlfn.XLOOKUP(A16,[1]!Tabla2[dispositivo],[1]!Tabla2[ubicación],"REVISAR")</f>
        <v>Crisostomo y Ayacucho</v>
      </c>
      <c r="C16" s="5">
        <v>2</v>
      </c>
      <c r="D16" s="6">
        <v>0.2857142857142857</v>
      </c>
      <c r="E16" s="5">
        <v>1</v>
      </c>
      <c r="F16" s="7">
        <v>0.14285714285714285</v>
      </c>
      <c r="G16" s="8" t="s">
        <v>9</v>
      </c>
      <c r="H16" s="8" t="s">
        <v>10</v>
      </c>
      <c r="I16" s="8" t="s">
        <v>11</v>
      </c>
    </row>
    <row r="17" spans="1:9" x14ac:dyDescent="0.3">
      <c r="A17" s="4" t="str">
        <v>CAM037</v>
      </c>
      <c r="B17" s="4" t="str">
        <f>_xlfn.XLOOKUP(A17,[1]!Tabla2[dispositivo],[1]!Tabla2[ubicación],"REVISAR")</f>
        <v>Monteagudo y San Juan</v>
      </c>
      <c r="C17" s="5">
        <v>1</v>
      </c>
      <c r="D17" s="6">
        <v>0.14285714285714285</v>
      </c>
      <c r="E17" s="5">
        <v>1</v>
      </c>
      <c r="F17" s="7">
        <v>0.14285714285714285</v>
      </c>
      <c r="G17" s="8" t="s">
        <v>9</v>
      </c>
      <c r="H17" s="8" t="s">
        <v>10</v>
      </c>
      <c r="I17" s="8" t="s">
        <v>11</v>
      </c>
    </row>
    <row r="18" spans="1:9" x14ac:dyDescent="0.3">
      <c r="A18" s="4" t="str">
        <v>CAM051</v>
      </c>
      <c r="B18" s="4" t="str">
        <f>_xlfn.XLOOKUP(A18,[1]!Tabla2[dispositivo],[1]!Tabla2[ubicación],"REVISAR")</f>
        <v>Jujuy y Las Piedras</v>
      </c>
      <c r="C18" s="5">
        <v>1</v>
      </c>
      <c r="D18" s="6">
        <v>0.14285714285714285</v>
      </c>
      <c r="E18" s="5">
        <v>1</v>
      </c>
      <c r="F18" s="7">
        <v>0.14285714285714285</v>
      </c>
      <c r="G18" s="8" t="s">
        <v>9</v>
      </c>
      <c r="H18" s="8" t="s">
        <v>10</v>
      </c>
      <c r="I18" s="8" t="s">
        <v>11</v>
      </c>
    </row>
    <row r="19" spans="1:9" x14ac:dyDescent="0.3">
      <c r="A19" s="4" t="str">
        <v>CAM052</v>
      </c>
      <c r="B19" s="4" t="str">
        <f>_xlfn.XLOOKUP(A19,[1]!Tabla2[dispositivo],[1]!Tabla2[ubicación],"REVISAR")</f>
        <v>Entre Rios y San Lorenzo</v>
      </c>
      <c r="C19" s="5">
        <v>1</v>
      </c>
      <c r="D19" s="6">
        <v>0.14285714285714285</v>
      </c>
      <c r="E19" s="5">
        <v>1</v>
      </c>
      <c r="F19" s="7">
        <v>0.14285714285714285</v>
      </c>
      <c r="G19" s="8" t="s">
        <v>9</v>
      </c>
      <c r="H19" s="8" t="s">
        <v>10</v>
      </c>
      <c r="I19" s="8" t="s">
        <v>11</v>
      </c>
    </row>
    <row r="20" spans="1:9" x14ac:dyDescent="0.3">
      <c r="A20" s="4" t="str">
        <v>CAM053</v>
      </c>
      <c r="B20" s="4" t="str">
        <f>_xlfn.XLOOKUP(A20,[1]!Tabla2[dispositivo],[1]!Tabla2[ubicación],"REVISAR")</f>
        <v>Av. Mate De Luna y Pje Centenario</v>
      </c>
      <c r="C20" s="5">
        <v>3</v>
      </c>
      <c r="D20" s="6">
        <v>0.42857142857142855</v>
      </c>
      <c r="E20" s="5">
        <v>3</v>
      </c>
      <c r="F20" s="7">
        <v>0.42857142857142855</v>
      </c>
      <c r="G20" s="8" t="s">
        <v>14</v>
      </c>
      <c r="H20" s="8" t="s">
        <v>15</v>
      </c>
      <c r="I20" s="8" t="s">
        <v>11</v>
      </c>
    </row>
    <row r="21" spans="1:9" x14ac:dyDescent="0.3">
      <c r="A21" s="4" t="str">
        <v>CAM055</v>
      </c>
      <c r="B21" s="4" t="str">
        <f>_xlfn.XLOOKUP(A21,[1]!Tabla2[dispositivo],[1]!Tabla2[ubicación],"REVISAR")</f>
        <v>Salta y San Martin</v>
      </c>
      <c r="C21" s="5">
        <v>1</v>
      </c>
      <c r="D21" s="6">
        <v>0.14285714285714285</v>
      </c>
      <c r="E21" s="5">
        <v>1</v>
      </c>
      <c r="F21" s="7">
        <v>0.14285714285714285</v>
      </c>
      <c r="G21" s="8" t="s">
        <v>9</v>
      </c>
      <c r="H21" s="8" t="s">
        <v>10</v>
      </c>
      <c r="I21" s="8" t="s">
        <v>11</v>
      </c>
    </row>
    <row r="22" spans="1:9" x14ac:dyDescent="0.3">
      <c r="A22" s="4" t="str">
        <v>CAM056</v>
      </c>
      <c r="B22" s="4" t="str">
        <f>_xlfn.XLOOKUP(A22,[1]!Tabla2[dispositivo],[1]!Tabla2[ubicación],"REVISAR")</f>
        <v>Monteagudo y 24 De Septiembre</v>
      </c>
      <c r="C22" s="5">
        <v>6</v>
      </c>
      <c r="D22" s="6">
        <v>0.8571428571428571</v>
      </c>
      <c r="E22" s="5">
        <v>4</v>
      </c>
      <c r="F22" s="7">
        <v>0.5714285714285714</v>
      </c>
      <c r="G22" s="8" t="s">
        <v>16</v>
      </c>
      <c r="H22" s="8" t="s">
        <v>17</v>
      </c>
      <c r="I22" s="8" t="s">
        <v>18</v>
      </c>
    </row>
    <row r="23" spans="1:9" x14ac:dyDescent="0.3">
      <c r="A23" s="4" t="str">
        <v>CAM057</v>
      </c>
      <c r="B23" s="4" t="str">
        <f>_xlfn.XLOOKUP(A23,[1]!Tabla2[dispositivo],[1]!Tabla2[ubicación],"REVISAR")</f>
        <v>Santiago y Virgen De La Merced</v>
      </c>
      <c r="C23" s="5">
        <v>1</v>
      </c>
      <c r="D23" s="6">
        <v>0.14285714285714285</v>
      </c>
      <c r="E23" s="5">
        <v>1</v>
      </c>
      <c r="F23" s="7">
        <v>0.14285714285714285</v>
      </c>
      <c r="G23" s="8" t="s">
        <v>9</v>
      </c>
      <c r="H23" s="8" t="s">
        <v>10</v>
      </c>
      <c r="I23" s="8" t="s">
        <v>11</v>
      </c>
    </row>
    <row r="24" spans="1:9" x14ac:dyDescent="0.3">
      <c r="A24" s="4" t="str">
        <v>CAM058</v>
      </c>
      <c r="B24" s="4" t="str">
        <f>_xlfn.XLOOKUP(A24,[1]!Tabla2[dispositivo],[1]!Tabla2[ubicación],"REVISAR")</f>
        <v>Av Sarmiento y Suipacha</v>
      </c>
      <c r="C24" s="5">
        <v>1</v>
      </c>
      <c r="D24" s="6">
        <v>0.14285714285714285</v>
      </c>
      <c r="E24" s="5">
        <v>1</v>
      </c>
      <c r="F24" s="7">
        <v>0.14285714285714285</v>
      </c>
      <c r="G24" s="8" t="s">
        <v>9</v>
      </c>
      <c r="H24" s="8" t="s">
        <v>10</v>
      </c>
      <c r="I24" s="8" t="s">
        <v>11</v>
      </c>
    </row>
    <row r="25" spans="1:9" x14ac:dyDescent="0.3">
      <c r="A25" s="4" t="str">
        <v>CAM059</v>
      </c>
      <c r="B25" s="4" t="str">
        <f>_xlfn.XLOOKUP(A25,[1]!Tabla2[dispositivo],[1]!Tabla2[ubicación],"REVISAR")</f>
        <v>Av Roca y Chacabuco</v>
      </c>
      <c r="C25" s="5">
        <v>2</v>
      </c>
      <c r="D25" s="6">
        <v>0.2857142857142857</v>
      </c>
      <c r="E25" s="5">
        <v>2</v>
      </c>
      <c r="F25" s="7">
        <v>0.2857142857142857</v>
      </c>
      <c r="G25" s="8" t="s">
        <v>9</v>
      </c>
      <c r="H25" s="8" t="s">
        <v>10</v>
      </c>
      <c r="I25" s="8" t="s">
        <v>11</v>
      </c>
    </row>
    <row r="26" spans="1:9" x14ac:dyDescent="0.3">
      <c r="A26" s="4" t="str">
        <v>CAM063</v>
      </c>
      <c r="B26" s="4" t="str">
        <f>_xlfn.XLOOKUP(A26,[1]!Tabla2[dispositivo],[1]!Tabla2[ubicación],"REVISAR")</f>
        <v>Av Roca y Bernabe Araoz</v>
      </c>
      <c r="C26" s="5">
        <v>14</v>
      </c>
      <c r="D26" s="6">
        <v>2</v>
      </c>
      <c r="E26" s="5">
        <v>6</v>
      </c>
      <c r="F26" s="7">
        <v>0.8571428571428571</v>
      </c>
      <c r="G26" s="8" t="s">
        <v>16</v>
      </c>
      <c r="H26" s="8" t="s">
        <v>17</v>
      </c>
      <c r="I26" s="8" t="s">
        <v>18</v>
      </c>
    </row>
    <row r="27" spans="1:9" x14ac:dyDescent="0.3">
      <c r="A27" s="4" t="str">
        <v>CAM065</v>
      </c>
      <c r="B27" s="4" t="str">
        <f>_xlfn.XLOOKUP(A27,[1]!Tabla2[dispositivo],[1]!Tabla2[ubicación],"REVISAR")</f>
        <v>San Lorenzo y Bernabe Araoz</v>
      </c>
      <c r="C27" s="5">
        <v>6</v>
      </c>
      <c r="D27" s="6">
        <v>0.8571428571428571</v>
      </c>
      <c r="E27" s="5">
        <v>3</v>
      </c>
      <c r="F27" s="7">
        <v>0.42857142857142855</v>
      </c>
      <c r="G27" s="8" t="s">
        <v>16</v>
      </c>
      <c r="H27" s="8" t="s">
        <v>17</v>
      </c>
      <c r="I27" s="8" t="s">
        <v>11</v>
      </c>
    </row>
    <row r="28" spans="1:9" x14ac:dyDescent="0.3">
      <c r="A28" s="4" t="str">
        <v>CAM066</v>
      </c>
      <c r="B28" s="4" t="str">
        <f>_xlfn.XLOOKUP(A28,[1]!Tabla2[dispositivo],[1]!Tabla2[ubicación],"REVISAR")</f>
        <v>Lavalle y Jujuy</v>
      </c>
      <c r="C28" s="5">
        <v>4</v>
      </c>
      <c r="D28" s="6">
        <v>0.5714285714285714</v>
      </c>
      <c r="E28" s="5">
        <v>4</v>
      </c>
      <c r="F28" s="7">
        <v>0.5714285714285714</v>
      </c>
      <c r="G28" s="8" t="s">
        <v>12</v>
      </c>
      <c r="H28" s="8" t="s">
        <v>13</v>
      </c>
      <c r="I28" s="8" t="s">
        <v>19</v>
      </c>
    </row>
    <row r="29" spans="1:9" x14ac:dyDescent="0.3">
      <c r="A29" s="4" t="str">
        <v>CAM067</v>
      </c>
      <c r="B29" s="4" t="str">
        <f>_xlfn.XLOOKUP(A29,[1]!Tabla2[dispositivo],[1]!Tabla2[ubicación],"REVISAR")</f>
        <v>Crisostomo y Bernabe Araoz</v>
      </c>
      <c r="C29" s="5">
        <v>3</v>
      </c>
      <c r="D29" s="6">
        <v>0.42857142857142855</v>
      </c>
      <c r="E29" s="5">
        <v>3</v>
      </c>
      <c r="F29" s="7">
        <v>0.42857142857142855</v>
      </c>
      <c r="G29" s="8" t="s">
        <v>14</v>
      </c>
      <c r="H29" s="8" t="s">
        <v>15</v>
      </c>
      <c r="I29" s="8" t="s">
        <v>11</v>
      </c>
    </row>
    <row r="30" spans="1:9" x14ac:dyDescent="0.3">
      <c r="A30" s="4" t="str">
        <v>CAM069</v>
      </c>
      <c r="B30" s="4" t="str">
        <f>_xlfn.XLOOKUP(A30,[1]!Tabla2[dispositivo],[1]!Tabla2[ubicación],"REVISAR")</f>
        <v>San Lorenzo y Las Heras</v>
      </c>
      <c r="C30" s="5">
        <v>1</v>
      </c>
      <c r="D30" s="6">
        <v>0.14285714285714285</v>
      </c>
      <c r="E30" s="5">
        <v>1</v>
      </c>
      <c r="F30" s="7">
        <v>0.14285714285714285</v>
      </c>
      <c r="G30" s="8" t="s">
        <v>9</v>
      </c>
      <c r="H30" s="8" t="s">
        <v>10</v>
      </c>
      <c r="I30" s="8" t="s">
        <v>11</v>
      </c>
    </row>
    <row r="31" spans="1:9" x14ac:dyDescent="0.3">
      <c r="A31" s="4" t="str">
        <v>CAM073</v>
      </c>
      <c r="B31" s="4" t="str">
        <f>_xlfn.XLOOKUP(A31,[1]!Tabla2[dispositivo],[1]!Tabla2[ubicación],"REVISAR")</f>
        <v>Gral. Paz y Av Saenz Peña</v>
      </c>
      <c r="C31" s="5">
        <v>1</v>
      </c>
      <c r="D31" s="6">
        <v>0.14285714285714285</v>
      </c>
      <c r="E31" s="5">
        <v>1</v>
      </c>
      <c r="F31" s="7">
        <v>0.14285714285714285</v>
      </c>
      <c r="G31" s="8" t="s">
        <v>9</v>
      </c>
      <c r="H31" s="8" t="s">
        <v>10</v>
      </c>
      <c r="I31" s="8" t="s">
        <v>11</v>
      </c>
    </row>
    <row r="32" spans="1:9" x14ac:dyDescent="0.3">
      <c r="A32" s="4" t="str">
        <v>CAM074</v>
      </c>
      <c r="B32" s="4" t="str">
        <f>_xlfn.XLOOKUP(A32,[1]!Tabla2[dispositivo],[1]!Tabla2[ubicación],"REVISAR")</f>
        <v>Rondeau y Chacabuco</v>
      </c>
      <c r="C32" s="5">
        <v>1</v>
      </c>
      <c r="D32" s="6">
        <v>0.14285714285714285</v>
      </c>
      <c r="E32" s="5">
        <v>1</v>
      </c>
      <c r="F32" s="7">
        <v>0.14285714285714285</v>
      </c>
      <c r="G32" s="8" t="s">
        <v>9</v>
      </c>
      <c r="H32" s="8" t="s">
        <v>10</v>
      </c>
      <c r="I32" s="8" t="s">
        <v>11</v>
      </c>
    </row>
    <row r="33" spans="1:9" x14ac:dyDescent="0.3">
      <c r="A33" s="4" t="str">
        <v>CAM075</v>
      </c>
      <c r="B33" s="4" t="str">
        <f>_xlfn.XLOOKUP(A33,[1]!Tabla2[dispositivo],[1]!Tabla2[ubicación],"REVISAR")</f>
        <v>Bolivar y Las Heras</v>
      </c>
      <c r="C33" s="5">
        <v>4</v>
      </c>
      <c r="D33" s="6">
        <v>0.5714285714285714</v>
      </c>
      <c r="E33" s="5">
        <v>4</v>
      </c>
      <c r="F33" s="7">
        <v>0.5714285714285714</v>
      </c>
      <c r="G33" s="8" t="s">
        <v>12</v>
      </c>
      <c r="H33" s="8" t="s">
        <v>13</v>
      </c>
      <c r="I33" s="8" t="s">
        <v>19</v>
      </c>
    </row>
    <row r="34" spans="1:9" x14ac:dyDescent="0.3">
      <c r="A34" s="4" t="str">
        <v>CAM076</v>
      </c>
      <c r="B34" s="4" t="str">
        <f>_xlfn.XLOOKUP(A34,[1]!Tabla2[dispositivo],[1]!Tabla2[ubicación],"REVISAR")</f>
        <v>Av Brigido Teran y J Presbich</v>
      </c>
      <c r="C34" s="5">
        <v>1</v>
      </c>
      <c r="D34" s="6">
        <v>0.14285714285714285</v>
      </c>
      <c r="E34" s="5">
        <v>1</v>
      </c>
      <c r="F34" s="7">
        <v>0.14285714285714285</v>
      </c>
      <c r="G34" s="8" t="s">
        <v>9</v>
      </c>
      <c r="H34" s="8" t="s">
        <v>10</v>
      </c>
      <c r="I34" s="8" t="s">
        <v>11</v>
      </c>
    </row>
    <row r="35" spans="1:9" x14ac:dyDescent="0.3">
      <c r="A35" s="4" t="str">
        <v>CAM081</v>
      </c>
      <c r="B35" s="4" t="str">
        <f>_xlfn.XLOOKUP(A35,[1]!Tabla2[dispositivo],[1]!Tabla2[ubicación],"REVISAR")</f>
        <v>Bolivar y Moreno</v>
      </c>
      <c r="C35" s="5">
        <v>1</v>
      </c>
      <c r="D35" s="6">
        <v>0.14285714285714285</v>
      </c>
      <c r="E35" s="5">
        <v>1</v>
      </c>
      <c r="F35" s="7">
        <v>0.14285714285714285</v>
      </c>
      <c r="G35" s="8" t="s">
        <v>9</v>
      </c>
      <c r="H35" s="8" t="s">
        <v>10</v>
      </c>
      <c r="I35" s="8" t="s">
        <v>11</v>
      </c>
    </row>
    <row r="36" spans="1:9" x14ac:dyDescent="0.3">
      <c r="A36" s="4" t="str">
        <v>CAM082</v>
      </c>
      <c r="B36" s="4" t="str">
        <f>_xlfn.XLOOKUP(A36,[1]!Tabla2[dispositivo],[1]!Tabla2[ubicación],"REVISAR")</f>
        <v>Lamadrid y Buenos Aires</v>
      </c>
      <c r="C36" s="5">
        <v>1</v>
      </c>
      <c r="D36" s="6">
        <v>0.14285714285714285</v>
      </c>
      <c r="E36" s="5">
        <v>1</v>
      </c>
      <c r="F36" s="7">
        <v>0.14285714285714285</v>
      </c>
      <c r="G36" s="8" t="s">
        <v>9</v>
      </c>
      <c r="H36" s="8" t="s">
        <v>10</v>
      </c>
      <c r="I36" s="8" t="s">
        <v>11</v>
      </c>
    </row>
    <row r="37" spans="1:9" x14ac:dyDescent="0.3">
      <c r="A37" s="4" t="str">
        <v>CAM083</v>
      </c>
      <c r="B37" s="4" t="str">
        <f>_xlfn.XLOOKUP(A37,[1]!Tabla2[dispositivo],[1]!Tabla2[ubicación],"REVISAR")</f>
        <v>Cordoba y Maipu</v>
      </c>
      <c r="C37" s="5">
        <v>1</v>
      </c>
      <c r="D37" s="6">
        <v>0.14285714285714285</v>
      </c>
      <c r="E37" s="5">
        <v>1</v>
      </c>
      <c r="F37" s="7">
        <v>0.14285714285714285</v>
      </c>
      <c r="G37" s="8" t="s">
        <v>9</v>
      </c>
      <c r="H37" s="8" t="s">
        <v>10</v>
      </c>
      <c r="I37" s="8" t="s">
        <v>11</v>
      </c>
    </row>
    <row r="38" spans="1:9" x14ac:dyDescent="0.3">
      <c r="A38" s="4" t="str">
        <v>CAM089</v>
      </c>
      <c r="B38" s="4" t="str">
        <f>_xlfn.XLOOKUP(A38,[1]!Tabla2[dispositivo],[1]!Tabla2[ubicación],"REVISAR")</f>
        <v>Marco Avellaneda y Mendoza</v>
      </c>
      <c r="C38" s="5">
        <v>1</v>
      </c>
      <c r="D38" s="6">
        <v>0.14285714285714285</v>
      </c>
      <c r="E38" s="5">
        <v>1</v>
      </c>
      <c r="F38" s="7">
        <v>0.14285714285714285</v>
      </c>
      <c r="G38" s="8" t="s">
        <v>9</v>
      </c>
      <c r="H38" s="8" t="s">
        <v>10</v>
      </c>
      <c r="I38" s="8" t="s">
        <v>11</v>
      </c>
    </row>
    <row r="39" spans="1:9" x14ac:dyDescent="0.3">
      <c r="A39" s="4" t="str">
        <v>CAM090</v>
      </c>
      <c r="B39" s="4" t="str">
        <f>_xlfn.XLOOKUP(A39,[1]!Tabla2[dispositivo],[1]!Tabla2[ubicación],"REVISAR")</f>
        <v>Av Mitre y Marcos Paz</v>
      </c>
      <c r="C39" s="5">
        <v>2</v>
      </c>
      <c r="D39" s="6">
        <v>0.2857142857142857</v>
      </c>
      <c r="E39" s="5">
        <v>2</v>
      </c>
      <c r="F39" s="7">
        <v>0.2857142857142857</v>
      </c>
      <c r="G39" s="8" t="s">
        <v>9</v>
      </c>
      <c r="H39" s="8" t="s">
        <v>10</v>
      </c>
      <c r="I39" s="8" t="s">
        <v>11</v>
      </c>
    </row>
    <row r="40" spans="1:9" x14ac:dyDescent="0.3">
      <c r="A40" s="4" t="str">
        <v>CAM091</v>
      </c>
      <c r="B40" s="4" t="str">
        <f>_xlfn.XLOOKUP(A40,[1]!Tabla2[dispositivo],[1]!Tabla2[ubicación],"REVISAR")</f>
        <v>24 De Septiembre y J B Alberdi</v>
      </c>
      <c r="C40" s="5">
        <v>4</v>
      </c>
      <c r="D40" s="6">
        <v>0.5714285714285714</v>
      </c>
      <c r="E40" s="5">
        <v>4</v>
      </c>
      <c r="F40" s="7">
        <v>0.5714285714285714</v>
      </c>
      <c r="G40" s="8" t="s">
        <v>12</v>
      </c>
      <c r="H40" s="8" t="s">
        <v>13</v>
      </c>
      <c r="I40" s="8" t="s">
        <v>19</v>
      </c>
    </row>
    <row r="41" spans="1:9" x14ac:dyDescent="0.3">
      <c r="A41" s="4" t="str">
        <v>CAM093</v>
      </c>
      <c r="B41" s="4" t="str">
        <f>_xlfn.XLOOKUP(A41,[1]!Tabla2[dispositivo],[1]!Tabla2[ubicación],"REVISAR")</f>
        <v>Mendoza y Virgen De La Merced</v>
      </c>
      <c r="C41" s="5">
        <v>1</v>
      </c>
      <c r="D41" s="6">
        <v>0.14285714285714285</v>
      </c>
      <c r="E41" s="5">
        <v>1</v>
      </c>
      <c r="F41" s="7">
        <v>0.14285714285714285</v>
      </c>
      <c r="G41" s="8" t="s">
        <v>9</v>
      </c>
      <c r="H41" s="8" t="s">
        <v>10</v>
      </c>
      <c r="I41" s="8" t="s">
        <v>11</v>
      </c>
    </row>
    <row r="42" spans="1:9" x14ac:dyDescent="0.3">
      <c r="A42" s="4" t="str">
        <v>CAM094</v>
      </c>
      <c r="B42" s="4" t="str">
        <f>_xlfn.XLOOKUP(A42,[1]!Tabla2[dispositivo],[1]!Tabla2[ubicación],"REVISAR")</f>
        <v>24 De Septiembre y Bernabe Ara</v>
      </c>
      <c r="C42" s="5">
        <v>2</v>
      </c>
      <c r="D42" s="6">
        <v>0.2857142857142857</v>
      </c>
      <c r="E42" s="5">
        <v>2</v>
      </c>
      <c r="F42" s="7">
        <v>0.2857142857142857</v>
      </c>
      <c r="G42" s="8" t="s">
        <v>9</v>
      </c>
      <c r="H42" s="8" t="s">
        <v>10</v>
      </c>
      <c r="I42" s="8" t="s">
        <v>11</v>
      </c>
    </row>
    <row r="43" spans="1:9" x14ac:dyDescent="0.3">
      <c r="A43" s="4" t="str">
        <v>CAM097</v>
      </c>
      <c r="B43" s="4" t="str">
        <f>_xlfn.XLOOKUP(A43,[1]!Tabla2[dispositivo],[1]!Tabla2[ubicación],"REVISAR")</f>
        <v>Mendoza y Laprida</v>
      </c>
      <c r="C43" s="5">
        <v>1</v>
      </c>
      <c r="D43" s="6">
        <v>0.14285714285714285</v>
      </c>
      <c r="E43" s="5">
        <v>1</v>
      </c>
      <c r="F43" s="7">
        <v>0.14285714285714285</v>
      </c>
      <c r="G43" s="8" t="s">
        <v>9</v>
      </c>
      <c r="H43" s="8" t="s">
        <v>10</v>
      </c>
      <c r="I43" s="8" t="s">
        <v>11</v>
      </c>
    </row>
    <row r="44" spans="1:9" x14ac:dyDescent="0.3">
      <c r="A44" s="4" t="str">
        <v>CAM100</v>
      </c>
      <c r="B44" s="4" t="str">
        <f>_xlfn.XLOOKUP(A44,[1]!Tabla2[dispositivo],[1]!Tabla2[ubicación],"REVISAR")</f>
        <v>Crisostomo y Buenos Aires (2)</v>
      </c>
      <c r="C44" s="5">
        <v>1</v>
      </c>
      <c r="D44" s="6">
        <v>0.14285714285714285</v>
      </c>
      <c r="E44" s="5">
        <v>1</v>
      </c>
      <c r="F44" s="7">
        <v>0.14285714285714285</v>
      </c>
      <c r="G44" s="8" t="s">
        <v>9</v>
      </c>
      <c r="H44" s="8" t="s">
        <v>10</v>
      </c>
      <c r="I44" s="8" t="s">
        <v>11</v>
      </c>
    </row>
    <row r="45" spans="1:9" x14ac:dyDescent="0.3">
      <c r="A45" s="4" t="str">
        <v>DOM002</v>
      </c>
      <c r="B45" s="4" t="str">
        <f>_xlfn.XLOOKUP(A45,[1]!Tabla2[dispositivo],[1]!Tabla2[ubicación],"REVISAR")</f>
        <v>Santiago y Laprida</v>
      </c>
      <c r="C45" s="5">
        <v>1</v>
      </c>
      <c r="D45" s="6">
        <v>0.14285714285714285</v>
      </c>
      <c r="E45" s="5">
        <v>1</v>
      </c>
      <c r="F45" s="7">
        <v>0.14285714285714285</v>
      </c>
      <c r="G45" s="8" t="s">
        <v>9</v>
      </c>
      <c r="H45" s="8" t="s">
        <v>10</v>
      </c>
      <c r="I45" s="8" t="s">
        <v>11</v>
      </c>
    </row>
    <row r="46" spans="1:9" x14ac:dyDescent="0.3">
      <c r="A46" s="4" t="str">
        <v>DOM003</v>
      </c>
      <c r="B46" s="4" t="str">
        <f>_xlfn.XLOOKUP(A46,[1]!Tabla2[dispositivo],[1]!Tabla2[ubicación],"REVISAR")</f>
        <v>Congreso y San Lorenzo</v>
      </c>
      <c r="C46" s="5">
        <v>2</v>
      </c>
      <c r="D46" s="6">
        <v>0.2857142857142857</v>
      </c>
      <c r="E46" s="5">
        <v>2</v>
      </c>
      <c r="F46" s="7">
        <v>0.2857142857142857</v>
      </c>
      <c r="G46" s="8" t="s">
        <v>9</v>
      </c>
      <c r="H46" s="8" t="s">
        <v>10</v>
      </c>
      <c r="I46" s="8" t="s">
        <v>11</v>
      </c>
    </row>
    <row r="47" spans="1:9" x14ac:dyDescent="0.3">
      <c r="A47" s="4" t="str">
        <v>DOM004</v>
      </c>
      <c r="B47" s="4" t="str">
        <f>_xlfn.XLOOKUP(A47,[1]!Tabla2[dispositivo],[1]!Tabla2[ubicación],"REVISAR")</f>
        <v>Av. Ejercito Del Norte y San Juan</v>
      </c>
      <c r="C47" s="5">
        <v>3</v>
      </c>
      <c r="D47" s="6">
        <v>0.42857142857142855</v>
      </c>
      <c r="E47" s="5">
        <v>2</v>
      </c>
      <c r="F47" s="7">
        <v>0.2857142857142857</v>
      </c>
      <c r="G47" s="8" t="s">
        <v>14</v>
      </c>
      <c r="H47" s="8" t="s">
        <v>15</v>
      </c>
      <c r="I47" s="8" t="s">
        <v>11</v>
      </c>
    </row>
    <row r="48" spans="1:9" x14ac:dyDescent="0.3">
      <c r="A48" s="4" t="str">
        <v>DOM005</v>
      </c>
      <c r="B48" s="4" t="str">
        <f>_xlfn.XLOOKUP(A48,[1]!Tabla2[dispositivo],[1]!Tabla2[ubicación],"REVISAR")</f>
        <v>Av. Juan D Peron 1500</v>
      </c>
      <c r="C48" s="5">
        <v>4</v>
      </c>
      <c r="D48" s="6">
        <v>0.5714285714285714</v>
      </c>
      <c r="E48" s="5">
        <v>4</v>
      </c>
      <c r="F48" s="7">
        <v>0.5714285714285714</v>
      </c>
      <c r="G48" s="8" t="s">
        <v>12</v>
      </c>
      <c r="H48" s="8" t="s">
        <v>13</v>
      </c>
      <c r="I48" s="8" t="s">
        <v>19</v>
      </c>
    </row>
    <row r="49" spans="1:9" x14ac:dyDescent="0.3">
      <c r="A49" s="4" t="str">
        <v>DOM006</v>
      </c>
      <c r="B49" s="4" t="str">
        <f>_xlfn.XLOOKUP(A49,[1]!Tabla2[dispositivo],[1]!Tabla2[ubicación],"REVISAR")</f>
        <v>San Martin y Laprida</v>
      </c>
      <c r="C49" s="5">
        <v>8</v>
      </c>
      <c r="D49" s="6">
        <v>1.1428571428571428</v>
      </c>
      <c r="E49" s="5">
        <v>3</v>
      </c>
      <c r="F49" s="7">
        <v>0.42857142857142855</v>
      </c>
      <c r="G49" s="8" t="s">
        <v>16</v>
      </c>
      <c r="H49" s="8" t="s">
        <v>17</v>
      </c>
      <c r="I49" s="8" t="s">
        <v>11</v>
      </c>
    </row>
    <row r="50" spans="1:9" x14ac:dyDescent="0.3">
      <c r="A50" s="4" t="str">
        <v>DOM008</v>
      </c>
      <c r="B50" s="4" t="str">
        <f>_xlfn.XLOOKUP(A50,[1]!Tabla2[dispositivo],[1]!Tabla2[ubicación],"REVISAR")</f>
        <v>Av. Del Lago y Carlos Thays</v>
      </c>
      <c r="C50" s="5">
        <v>3</v>
      </c>
      <c r="D50" s="6">
        <v>0.42857142857142855</v>
      </c>
      <c r="E50" s="5">
        <v>2</v>
      </c>
      <c r="F50" s="7">
        <v>0.2857142857142857</v>
      </c>
      <c r="G50" s="8" t="s">
        <v>14</v>
      </c>
      <c r="H50" s="8" t="s">
        <v>15</v>
      </c>
      <c r="I50" s="8" t="s">
        <v>11</v>
      </c>
    </row>
    <row r="51" spans="1:9" x14ac:dyDescent="0.3">
      <c r="A51" s="4" t="str">
        <v>DOM010</v>
      </c>
      <c r="B51" s="4" t="str">
        <f>_xlfn.XLOOKUP(A51,[1]!Tabla2[dispositivo],[1]!Tabla2[ubicación],"REVISAR")</f>
        <v>Av. Sarmiento y Rivadavia</v>
      </c>
      <c r="C51" s="5">
        <v>3</v>
      </c>
      <c r="D51" s="6">
        <v>0.42857142857142855</v>
      </c>
      <c r="E51" s="5">
        <v>2</v>
      </c>
      <c r="F51" s="7">
        <v>0.2857142857142857</v>
      </c>
      <c r="G51" s="8" t="s">
        <v>14</v>
      </c>
      <c r="H51" s="8" t="s">
        <v>15</v>
      </c>
      <c r="I51" s="8" t="s">
        <v>11</v>
      </c>
    </row>
    <row r="52" spans="1:9" x14ac:dyDescent="0.3">
      <c r="A52" s="4" t="str">
        <v>DOM011</v>
      </c>
      <c r="B52" s="4" t="str">
        <f>_xlfn.XLOOKUP(A52,[1]!Tabla2[dispositivo],[1]!Tabla2[ubicación],"REVISAR")</f>
        <v>Av Roca y Ayacucho</v>
      </c>
      <c r="C52" s="5">
        <v>3</v>
      </c>
      <c r="D52" s="6">
        <v>0.42857142857142855</v>
      </c>
      <c r="E52" s="5">
        <v>3</v>
      </c>
      <c r="F52" s="7">
        <v>0.42857142857142855</v>
      </c>
      <c r="G52" s="8" t="s">
        <v>14</v>
      </c>
      <c r="H52" s="8" t="s">
        <v>15</v>
      </c>
      <c r="I52" s="8" t="s">
        <v>11</v>
      </c>
    </row>
    <row r="53" spans="1:9" x14ac:dyDescent="0.3">
      <c r="A53" s="4" t="str">
        <v>DOM012</v>
      </c>
      <c r="B53" s="4" t="str">
        <f>_xlfn.XLOOKUP(A53,[1]!Tabla2[dispositivo],[1]!Tabla2[ubicación],"REVISAR")</f>
        <v>Av Roca y Av Alem</v>
      </c>
      <c r="C53" s="5">
        <v>8</v>
      </c>
      <c r="D53" s="6">
        <v>1.1428571428571428</v>
      </c>
      <c r="E53" s="5">
        <v>4</v>
      </c>
      <c r="F53" s="7">
        <v>0.5714285714285714</v>
      </c>
      <c r="G53" s="8" t="s">
        <v>16</v>
      </c>
      <c r="H53" s="8" t="s">
        <v>17</v>
      </c>
      <c r="I53" s="8" t="s">
        <v>18</v>
      </c>
    </row>
    <row r="54" spans="1:9" x14ac:dyDescent="0.3">
      <c r="A54" s="4" t="str">
        <v>DOM013</v>
      </c>
      <c r="B54" s="4" t="str">
        <f>_xlfn.XLOOKUP(A54,[1]!Tabla2[dispositivo],[1]!Tabla2[ubicación],"REVISAR")</f>
        <v>Av Roca y Av Saenz Peña</v>
      </c>
      <c r="C54" s="5">
        <v>2</v>
      </c>
      <c r="D54" s="6">
        <v>0.2857142857142857</v>
      </c>
      <c r="E54" s="5">
        <v>1</v>
      </c>
      <c r="F54" s="7">
        <v>0.14285714285714285</v>
      </c>
      <c r="G54" s="8" t="s">
        <v>9</v>
      </c>
      <c r="H54" s="8" t="s">
        <v>10</v>
      </c>
      <c r="I54" s="8" t="s">
        <v>11</v>
      </c>
    </row>
    <row r="55" spans="1:9" x14ac:dyDescent="0.3">
      <c r="A55" s="4" t="str">
        <v>DOM014</v>
      </c>
      <c r="B55" s="4" t="str">
        <f>_xlfn.XLOOKUP(A55,[1]!Tabla2[dispositivo],[1]!Tabla2[ubicación],"REVISAR")</f>
        <v>Av. Benj Araoz y Av. Sold</v>
      </c>
      <c r="C55" s="5">
        <v>9</v>
      </c>
      <c r="D55" s="6">
        <v>1.2857142857142858</v>
      </c>
      <c r="E55" s="5">
        <v>5</v>
      </c>
      <c r="F55" s="7">
        <v>0.7142857142857143</v>
      </c>
      <c r="G55" s="8" t="s">
        <v>16</v>
      </c>
      <c r="H55" s="8" t="s">
        <v>17</v>
      </c>
      <c r="I55" s="8" t="s">
        <v>18</v>
      </c>
    </row>
    <row r="56" spans="1:9" x14ac:dyDescent="0.3">
      <c r="A56" s="4" t="str">
        <v>DOM015</v>
      </c>
      <c r="B56" s="4" t="str">
        <f>_xlfn.XLOOKUP(A56,[1]!Tabla2[dispositivo],[1]!Tabla2[ubicación],"REVISAR")</f>
        <v>Plazoleta Mitre</v>
      </c>
      <c r="C56" s="5">
        <v>1</v>
      </c>
      <c r="D56" s="6">
        <v>0.14285714285714285</v>
      </c>
      <c r="E56" s="5">
        <v>1</v>
      </c>
      <c r="F56" s="7">
        <v>0.14285714285714285</v>
      </c>
      <c r="G56" s="8" t="s">
        <v>9</v>
      </c>
      <c r="H56" s="8" t="s">
        <v>10</v>
      </c>
      <c r="I56" s="8" t="s">
        <v>11</v>
      </c>
    </row>
    <row r="57" spans="1:9" x14ac:dyDescent="0.3">
      <c r="A57" s="4" t="str">
        <v>DOM016</v>
      </c>
      <c r="B57" s="4" t="str">
        <f>_xlfn.XLOOKUP(A57,[1]!Tabla2[dispositivo],[1]!Tabla2[ubicación],"REVISAR")</f>
        <v>Av Avellaneda y Av Sarmiento</v>
      </c>
      <c r="C57" s="5">
        <v>3</v>
      </c>
      <c r="D57" s="6">
        <v>0.42857142857142855</v>
      </c>
      <c r="E57" s="5">
        <v>3</v>
      </c>
      <c r="F57" s="7">
        <v>0.42857142857142855</v>
      </c>
      <c r="G57" s="8" t="s">
        <v>14</v>
      </c>
      <c r="H57" s="8" t="s">
        <v>15</v>
      </c>
      <c r="I57" s="8" t="s">
        <v>11</v>
      </c>
    </row>
    <row r="58" spans="1:9" x14ac:dyDescent="0.3">
      <c r="A58" s="4" t="str">
        <v>DOM017</v>
      </c>
      <c r="B58" s="4" t="str">
        <f>_xlfn.XLOOKUP(A58,[1]!Tabla2[dispositivo],[1]!Tabla2[ubicación],"REVISAR")</f>
        <v>Rna016  Limite Banda</v>
      </c>
      <c r="C58" s="5">
        <v>4</v>
      </c>
      <c r="D58" s="6">
        <v>0.5714285714285714</v>
      </c>
      <c r="E58" s="5">
        <v>3</v>
      </c>
      <c r="F58" s="7">
        <v>0.42857142857142855</v>
      </c>
      <c r="G58" s="8" t="s">
        <v>12</v>
      </c>
      <c r="H58" s="8" t="s">
        <v>13</v>
      </c>
      <c r="I58" s="8" t="s">
        <v>11</v>
      </c>
    </row>
    <row r="59" spans="1:9" x14ac:dyDescent="0.3">
      <c r="A59" s="4" t="str">
        <v>DOM018</v>
      </c>
      <c r="B59" s="4" t="str">
        <f>_xlfn.XLOOKUP(A59,[1]!Tabla2[dispositivo],[1]!Tabla2[ubicación],"REVISAR")</f>
        <v>24 De Sep y Salta</v>
      </c>
      <c r="C59" s="5">
        <v>2</v>
      </c>
      <c r="D59" s="6">
        <v>0.2857142857142857</v>
      </c>
      <c r="E59" s="5">
        <v>2</v>
      </c>
      <c r="F59" s="7">
        <v>0.2857142857142857</v>
      </c>
      <c r="G59" s="8" t="s">
        <v>9</v>
      </c>
      <c r="H59" s="8" t="s">
        <v>10</v>
      </c>
      <c r="I59" s="8" t="s">
        <v>11</v>
      </c>
    </row>
    <row r="60" spans="1:9" x14ac:dyDescent="0.3">
      <c r="A60" s="4" t="str">
        <v>DOM019</v>
      </c>
      <c r="B60" s="4" t="str">
        <f>_xlfn.XLOOKUP(A60,[1]!Tabla2[dispositivo],[1]!Tabla2[ubicación],"REVISAR")</f>
        <v>Av Salta y Av Sarmiento</v>
      </c>
      <c r="C60" s="5">
        <v>6</v>
      </c>
      <c r="D60" s="6">
        <v>0.8571428571428571</v>
      </c>
      <c r="E60" s="5">
        <v>5</v>
      </c>
      <c r="F60" s="7">
        <v>0.7142857142857143</v>
      </c>
      <c r="G60" s="8" t="s">
        <v>16</v>
      </c>
      <c r="H60" s="8" t="s">
        <v>17</v>
      </c>
      <c r="I60" s="8" t="s">
        <v>18</v>
      </c>
    </row>
    <row r="61" spans="1:9" x14ac:dyDescent="0.3">
      <c r="A61" s="4" t="str">
        <v>DOM020</v>
      </c>
      <c r="B61" s="4" t="str">
        <f>_xlfn.XLOOKUP(A61,[1]!Tabla2[dispositivo],[1]!Tabla2[ubicación],"REVISAR")</f>
        <v>24 De Sep y Av Avellaneda</v>
      </c>
      <c r="C61" s="5">
        <v>3</v>
      </c>
      <c r="D61" s="6">
        <v>0.42857142857142855</v>
      </c>
      <c r="E61" s="5">
        <v>3</v>
      </c>
      <c r="F61" s="7">
        <v>0.42857142857142855</v>
      </c>
      <c r="G61" s="8" t="s">
        <v>14</v>
      </c>
      <c r="H61" s="8" t="s">
        <v>15</v>
      </c>
      <c r="I61" s="8" t="s">
        <v>11</v>
      </c>
    </row>
    <row r="62" spans="1:9" x14ac:dyDescent="0.3">
      <c r="A62" s="4" t="str">
        <v>DOM021</v>
      </c>
      <c r="B62" s="4" t="str">
        <f>_xlfn.XLOOKUP(A62,[1]!Tabla2[dispositivo],[1]!Tabla2[ubicación],"REVISAR")</f>
        <v>San Juan y Maipu</v>
      </c>
      <c r="C62" s="5">
        <v>1</v>
      </c>
      <c r="D62" s="6">
        <v>0.14285714285714285</v>
      </c>
      <c r="E62" s="5">
        <v>1</v>
      </c>
      <c r="F62" s="7">
        <v>0.14285714285714285</v>
      </c>
      <c r="G62" s="8" t="s">
        <v>9</v>
      </c>
      <c r="H62" s="8" t="s">
        <v>10</v>
      </c>
      <c r="I62" s="8" t="s">
        <v>11</v>
      </c>
    </row>
    <row r="63" spans="1:9" x14ac:dyDescent="0.3">
      <c r="A63" s="4" t="str">
        <v>DOM027</v>
      </c>
      <c r="B63" s="4" t="str">
        <f>_xlfn.XLOOKUP(A63,[1]!Tabla2[dispositivo],[1]!Tabla2[ubicación],"REVISAR")</f>
        <v>Lavalle y La Rioja</v>
      </c>
      <c r="C63" s="5">
        <v>1</v>
      </c>
      <c r="D63" s="6">
        <v>0.14285714285714285</v>
      </c>
      <c r="E63" s="5">
        <v>1</v>
      </c>
      <c r="F63" s="7">
        <v>0.14285714285714285</v>
      </c>
      <c r="G63" s="8" t="s">
        <v>9</v>
      </c>
      <c r="H63" s="8" t="s">
        <v>10</v>
      </c>
      <c r="I63" s="8" t="s">
        <v>11</v>
      </c>
    </row>
    <row r="64" spans="1:9" x14ac:dyDescent="0.3">
      <c r="A64" s="4" t="str">
        <v>DOM028</v>
      </c>
      <c r="B64" s="4" t="str">
        <f>_xlfn.XLOOKUP(A64,[1]!Tabla2[dispositivo],[1]!Tabla2[ubicación],"REVISAR")</f>
        <v>Lavalle y Bernabe Araoz</v>
      </c>
      <c r="C64" s="5">
        <v>1</v>
      </c>
      <c r="D64" s="6">
        <v>0.14285714285714285</v>
      </c>
      <c r="E64" s="5">
        <v>1</v>
      </c>
      <c r="F64" s="7">
        <v>0.14285714285714285</v>
      </c>
      <c r="G64" s="8" t="s">
        <v>9</v>
      </c>
      <c r="H64" s="8" t="s">
        <v>10</v>
      </c>
      <c r="I64" s="8" t="s">
        <v>11</v>
      </c>
    </row>
    <row r="65" spans="1:9" x14ac:dyDescent="0.3">
      <c r="A65" s="4" t="str">
        <v>DOM033</v>
      </c>
      <c r="B65" s="4" t="str">
        <f>_xlfn.XLOOKUP(A65,[1]!Tabla2[dispositivo],[1]!Tabla2[ubicación],"REVISAR")</f>
        <v>Av. Independencia y Pellegrini</v>
      </c>
      <c r="C65" s="5">
        <v>2</v>
      </c>
      <c r="D65" s="6">
        <v>0.2857142857142857</v>
      </c>
      <c r="E65" s="5">
        <v>2</v>
      </c>
      <c r="F65" s="7">
        <v>0.2857142857142857</v>
      </c>
      <c r="G65" s="8" t="s">
        <v>9</v>
      </c>
      <c r="H65" s="8" t="s">
        <v>10</v>
      </c>
      <c r="I65" s="8" t="s">
        <v>11</v>
      </c>
    </row>
    <row r="66" spans="1:9" x14ac:dyDescent="0.3">
      <c r="A66" s="4" t="str">
        <v>DOM034</v>
      </c>
      <c r="B66" s="4" t="str">
        <f>_xlfn.XLOOKUP(A66,[1]!Tabla2[dispositivo],[1]!Tabla2[ubicación],"REVISAR")</f>
        <v>Rivadavia y España</v>
      </c>
      <c r="C66" s="5">
        <v>1</v>
      </c>
      <c r="D66" s="6">
        <v>0.14285714285714285</v>
      </c>
      <c r="E66" s="5">
        <v>1</v>
      </c>
      <c r="F66" s="7">
        <v>0.14285714285714285</v>
      </c>
      <c r="G66" s="8" t="s">
        <v>9</v>
      </c>
      <c r="H66" s="8" t="s">
        <v>10</v>
      </c>
      <c r="I66" s="8" t="s">
        <v>11</v>
      </c>
    </row>
    <row r="67" spans="1:9" x14ac:dyDescent="0.3">
      <c r="A67" s="4" t="str">
        <v>DOM037</v>
      </c>
      <c r="B67" s="4" t="str">
        <f>_xlfn.XLOOKUP(A67,[1]!Tabla2[dispositivo],[1]!Tabla2[ubicación],"REVISAR")</f>
        <v>San Lorenzo y 9 De Julio</v>
      </c>
      <c r="C67" s="5">
        <v>2</v>
      </c>
      <c r="D67" s="6">
        <v>0.2857142857142857</v>
      </c>
      <c r="E67" s="5">
        <v>1</v>
      </c>
      <c r="F67" s="7">
        <v>0.14285714285714285</v>
      </c>
      <c r="G67" s="8" t="s">
        <v>9</v>
      </c>
      <c r="H67" s="8" t="s">
        <v>10</v>
      </c>
      <c r="I67" s="8" t="s">
        <v>11</v>
      </c>
    </row>
    <row r="68" spans="1:9" x14ac:dyDescent="0.3">
      <c r="A68" s="4" t="str">
        <v>DOM039</v>
      </c>
      <c r="B68" s="4" t="str">
        <f>_xlfn.XLOOKUP(A68,[1]!Tabla2[dispositivo],[1]!Tabla2[ubicación],"REVISAR")</f>
        <v>San Martin y 25 De Mayo</v>
      </c>
      <c r="C68" s="5">
        <v>3</v>
      </c>
      <c r="D68" s="6">
        <v>0.42857142857142855</v>
      </c>
      <c r="E68" s="5">
        <v>3</v>
      </c>
      <c r="F68" s="7">
        <v>0.42857142857142855</v>
      </c>
      <c r="G68" s="8" t="s">
        <v>14</v>
      </c>
      <c r="H68" s="8" t="s">
        <v>15</v>
      </c>
      <c r="I68" s="8" t="s">
        <v>11</v>
      </c>
    </row>
    <row r="69" spans="1:9" x14ac:dyDescent="0.3">
      <c r="A69" s="4" t="str">
        <v>DOM041</v>
      </c>
      <c r="B69" s="4" t="str">
        <f>_xlfn.XLOOKUP(A69,[1]!Tabla2[dispositivo],[1]!Tabla2[ubicación],"REVISAR")</f>
        <v>Av. Roca y Chiclana</v>
      </c>
      <c r="C69" s="5">
        <v>2</v>
      </c>
      <c r="D69" s="6">
        <v>0.2857142857142857</v>
      </c>
      <c r="E69" s="5">
        <v>2</v>
      </c>
      <c r="F69" s="7">
        <v>0.2857142857142857</v>
      </c>
      <c r="G69" s="8" t="s">
        <v>9</v>
      </c>
      <c r="H69" s="8" t="s">
        <v>10</v>
      </c>
      <c r="I69" s="8" t="s">
        <v>11</v>
      </c>
    </row>
    <row r="70" spans="1:9" x14ac:dyDescent="0.3">
      <c r="A70" s="4" t="str">
        <v>DOM043</v>
      </c>
      <c r="B70" s="4" t="str">
        <f>_xlfn.XLOOKUP(A70,[1]!Tabla2[dispositivo],[1]!Tabla2[ubicación],"REVISAR")</f>
        <v>Casa Sucar 1</v>
      </c>
      <c r="C70" s="5">
        <v>2</v>
      </c>
      <c r="D70" s="6">
        <v>0.2857142857142857</v>
      </c>
      <c r="E70" s="5">
        <v>2</v>
      </c>
      <c r="F70" s="7">
        <v>0.2857142857142857</v>
      </c>
      <c r="G70" s="8" t="s">
        <v>9</v>
      </c>
      <c r="H70" s="8" t="s">
        <v>10</v>
      </c>
      <c r="I70" s="8" t="s">
        <v>11</v>
      </c>
    </row>
    <row r="71" spans="1:9" x14ac:dyDescent="0.3">
      <c r="A71" s="4" t="str">
        <v>DOM045</v>
      </c>
      <c r="B71" s="4" t="str">
        <f>_xlfn.XLOOKUP(A71,[1]!Tabla2[dispositivo],[1]!Tabla2[ubicación],"REVISAR")</f>
        <v>25 De Mayo y San Juan</v>
      </c>
      <c r="C71" s="5">
        <v>1</v>
      </c>
      <c r="D71" s="6">
        <v>0.14285714285714285</v>
      </c>
      <c r="E71" s="5">
        <v>1</v>
      </c>
      <c r="F71" s="7">
        <v>0.14285714285714285</v>
      </c>
      <c r="G71" s="8" t="s">
        <v>9</v>
      </c>
      <c r="H71" s="8" t="s">
        <v>10</v>
      </c>
      <c r="I71" s="8" t="s">
        <v>11</v>
      </c>
    </row>
    <row r="72" spans="1:9" x14ac:dyDescent="0.3">
      <c r="A72" s="4" t="str">
        <v>DOM046</v>
      </c>
      <c r="B72" s="4" t="str">
        <f>_xlfn.XLOOKUP(A72,[1]!Tabla2[dispositivo],[1]!Tabla2[ubicación],"REVISAR")</f>
        <v>Plaza Costanera Norte</v>
      </c>
      <c r="C72" s="5">
        <v>3</v>
      </c>
      <c r="D72" s="6">
        <v>0.42857142857142855</v>
      </c>
      <c r="E72" s="5">
        <v>3</v>
      </c>
      <c r="F72" s="7">
        <v>0.42857142857142855</v>
      </c>
      <c r="G72" s="8" t="s">
        <v>14</v>
      </c>
      <c r="H72" s="8" t="s">
        <v>15</v>
      </c>
      <c r="I72" s="8" t="s">
        <v>11</v>
      </c>
    </row>
    <row r="73" spans="1:9" x14ac:dyDescent="0.3">
      <c r="A73" s="4" t="str">
        <v>DOM047</v>
      </c>
      <c r="B73" s="4" t="str">
        <f>_xlfn.XLOOKUP(A73,[1]!Tabla2[dispositivo],[1]!Tabla2[ubicación],"REVISAR")</f>
        <v>Las Piedras y Buenos Aires</v>
      </c>
      <c r="C73" s="5">
        <v>1</v>
      </c>
      <c r="D73" s="6">
        <v>0.14285714285714285</v>
      </c>
      <c r="E73" s="5">
        <v>1</v>
      </c>
      <c r="F73" s="7">
        <v>0.14285714285714285</v>
      </c>
      <c r="G73" s="8" t="s">
        <v>9</v>
      </c>
      <c r="H73" s="8" t="s">
        <v>10</v>
      </c>
      <c r="I73" s="8" t="s">
        <v>11</v>
      </c>
    </row>
    <row r="74" spans="1:9" x14ac:dyDescent="0.3">
      <c r="A74" s="4" t="str">
        <v>DOM048</v>
      </c>
      <c r="B74" s="4" t="str">
        <f>_xlfn.XLOOKUP(A74,[1]!Tabla2[dispositivo],[1]!Tabla2[ubicación],"REVISAR")</f>
        <v>San Lorenzo y Chacabuco</v>
      </c>
      <c r="C74" s="5">
        <v>1</v>
      </c>
      <c r="D74" s="6">
        <v>0.14285714285714285</v>
      </c>
      <c r="E74" s="5">
        <v>1</v>
      </c>
      <c r="F74" s="7">
        <v>0.14285714285714285</v>
      </c>
      <c r="G74" s="8" t="s">
        <v>9</v>
      </c>
      <c r="H74" s="8" t="s">
        <v>10</v>
      </c>
      <c r="I74" s="8" t="s">
        <v>11</v>
      </c>
    </row>
    <row r="75" spans="1:9" x14ac:dyDescent="0.3">
      <c r="A75" s="4" t="str">
        <v>DOM049</v>
      </c>
      <c r="B75" s="4" t="str">
        <f>_xlfn.XLOOKUP(A75,[1]!Tabla2[dispositivo],[1]!Tabla2[ubicación],"REVISAR")</f>
        <v>24 De Sep y Chacabuco</v>
      </c>
      <c r="C75" s="5">
        <v>1</v>
      </c>
      <c r="D75" s="6">
        <v>0.14285714285714285</v>
      </c>
      <c r="E75" s="5">
        <v>1</v>
      </c>
      <c r="F75" s="7">
        <v>0.14285714285714285</v>
      </c>
      <c r="G75" s="8" t="s">
        <v>9</v>
      </c>
      <c r="H75" s="8" t="s">
        <v>10</v>
      </c>
      <c r="I75" s="8" t="s">
        <v>11</v>
      </c>
    </row>
    <row r="76" spans="1:9" x14ac:dyDescent="0.3">
      <c r="A76" s="4" t="str">
        <v>DOM050</v>
      </c>
      <c r="B76" s="4" t="str">
        <f>_xlfn.XLOOKUP(A76,[1]!Tabla2[dispositivo],[1]!Tabla2[ubicación],"REVISAR")</f>
        <v>25 De Mayo Av Sarmiento</v>
      </c>
      <c r="C76" s="5">
        <v>4</v>
      </c>
      <c r="D76" s="6">
        <v>0.5714285714285714</v>
      </c>
      <c r="E76" s="5">
        <v>3</v>
      </c>
      <c r="F76" s="7">
        <v>0.42857142857142855</v>
      </c>
      <c r="G76" s="8" t="s">
        <v>12</v>
      </c>
      <c r="H76" s="8" t="s">
        <v>13</v>
      </c>
      <c r="I76" s="8" t="s">
        <v>11</v>
      </c>
    </row>
    <row r="77" spans="1:9" x14ac:dyDescent="0.3">
      <c r="A77" s="4" t="str">
        <v>DOM053</v>
      </c>
      <c r="B77" s="4" t="str">
        <f>_xlfn.XLOOKUP(A77,[1]!Tabla2[dispositivo],[1]!Tabla2[ubicación],"REVISAR")</f>
        <v>Av Sarmiento y Maipu</v>
      </c>
      <c r="C77" s="5">
        <v>1</v>
      </c>
      <c r="D77" s="6">
        <v>0.14285714285714285</v>
      </c>
      <c r="E77" s="5">
        <v>1</v>
      </c>
      <c r="F77" s="7">
        <v>0.14285714285714285</v>
      </c>
      <c r="G77" s="8" t="s">
        <v>9</v>
      </c>
      <c r="H77" s="8" t="s">
        <v>10</v>
      </c>
      <c r="I77" s="8" t="s">
        <v>11</v>
      </c>
    </row>
    <row r="78" spans="1:9" x14ac:dyDescent="0.3">
      <c r="A78" s="4" t="str">
        <v>DOM056</v>
      </c>
      <c r="B78" s="4" t="str">
        <f>_xlfn.XLOOKUP(A78,[1]!Tabla2[dispositivo],[1]!Tabla2[ubicación],"REVISAR")</f>
        <v>Santiago y Jose Colombres</v>
      </c>
      <c r="C78" s="5">
        <v>1</v>
      </c>
      <c r="D78" s="6">
        <v>0.14285714285714285</v>
      </c>
      <c r="E78" s="5">
        <v>1</v>
      </c>
      <c r="F78" s="7">
        <v>0.14285714285714285</v>
      </c>
      <c r="G78" s="8" t="s">
        <v>9</v>
      </c>
      <c r="H78" s="8" t="s">
        <v>10</v>
      </c>
      <c r="I78" s="8" t="s">
        <v>11</v>
      </c>
    </row>
    <row r="79" spans="1:9" x14ac:dyDescent="0.3">
      <c r="A79" s="4" t="str">
        <v>DOM057</v>
      </c>
      <c r="B79" s="4" t="str">
        <f>_xlfn.XLOOKUP(A79,[1]!Tabla2[dispositivo],[1]!Tabla2[ubicación],"REVISAR")</f>
        <v>Av Sarmiento y Catamarca</v>
      </c>
      <c r="C79" s="5">
        <v>3</v>
      </c>
      <c r="D79" s="6">
        <v>0.42857142857142855</v>
      </c>
      <c r="E79" s="5">
        <v>1</v>
      </c>
      <c r="F79" s="7">
        <v>0.14285714285714285</v>
      </c>
      <c r="G79" s="8" t="s">
        <v>14</v>
      </c>
      <c r="H79" s="8" t="s">
        <v>15</v>
      </c>
      <c r="I79" s="8" t="s">
        <v>11</v>
      </c>
    </row>
    <row r="80" spans="1:9" x14ac:dyDescent="0.3">
      <c r="A80" s="4" t="str">
        <v>DOM058</v>
      </c>
      <c r="B80" s="4" t="str">
        <f>_xlfn.XLOOKUP(A80,[1]!Tabla2[dispositivo],[1]!Tabla2[ubicación],"REVISAR")</f>
        <v>San Martin y V. De La Merced</v>
      </c>
      <c r="C80" s="5">
        <v>2</v>
      </c>
      <c r="D80" s="6">
        <v>0.2857142857142857</v>
      </c>
      <c r="E80" s="5">
        <v>2</v>
      </c>
      <c r="F80" s="7">
        <v>0.2857142857142857</v>
      </c>
      <c r="G80" s="8" t="s">
        <v>9</v>
      </c>
      <c r="H80" s="8" t="s">
        <v>10</v>
      </c>
      <c r="I80" s="8" t="s">
        <v>11</v>
      </c>
    </row>
    <row r="81" spans="1:9" x14ac:dyDescent="0.3">
      <c r="A81" s="4" t="str">
        <v>DOM060</v>
      </c>
      <c r="B81" s="4" t="str">
        <f>_xlfn.XLOOKUP(A81,[1]!Tabla2[dispositivo],[1]!Tabla2[ubicación],"REVISAR")</f>
        <v>24 De Septiembre y Congreso</v>
      </c>
      <c r="C81" s="5">
        <v>5</v>
      </c>
      <c r="D81" s="6">
        <v>0.7142857142857143</v>
      </c>
      <c r="E81" s="5">
        <v>3</v>
      </c>
      <c r="F81" s="7">
        <v>0.42857142857142855</v>
      </c>
      <c r="G81" s="8" t="s">
        <v>16</v>
      </c>
      <c r="H81" s="8" t="s">
        <v>17</v>
      </c>
      <c r="I81" s="8" t="s">
        <v>11</v>
      </c>
    </row>
    <row r="82" spans="1:9" x14ac:dyDescent="0.3">
      <c r="A82" s="4" t="str">
        <v>DOM062</v>
      </c>
      <c r="B82" s="4" t="str">
        <f>_xlfn.XLOOKUP(A82,[1]!Tabla2[dispositivo],[1]!Tabla2[ubicación],"REVISAR")</f>
        <v>San Juan y Junin</v>
      </c>
      <c r="C82" s="5">
        <v>1</v>
      </c>
      <c r="D82" s="6">
        <v>0.14285714285714285</v>
      </c>
      <c r="E82" s="5">
        <v>1</v>
      </c>
      <c r="F82" s="7">
        <v>0.14285714285714285</v>
      </c>
      <c r="G82" s="8" t="s">
        <v>9</v>
      </c>
      <c r="H82" s="8" t="s">
        <v>10</v>
      </c>
      <c r="I82" s="8" t="s">
        <v>11</v>
      </c>
    </row>
    <row r="83" spans="1:9" x14ac:dyDescent="0.3">
      <c r="A83" s="4" t="str">
        <v>DOM064</v>
      </c>
      <c r="B83" s="4" t="str">
        <f>_xlfn.XLOOKUP(A83,[1]!Tabla2[dispositivo],[1]!Tabla2[ubicación],"REVISAR")</f>
        <v>Corrientes y Catamarca</v>
      </c>
      <c r="C83" s="5">
        <v>1</v>
      </c>
      <c r="D83" s="6">
        <v>0.14285714285714285</v>
      </c>
      <c r="E83" s="5">
        <v>1</v>
      </c>
      <c r="F83" s="7">
        <v>0.14285714285714285</v>
      </c>
      <c r="G83" s="8" t="s">
        <v>9</v>
      </c>
      <c r="H83" s="8" t="s">
        <v>10</v>
      </c>
      <c r="I83" s="8" t="s">
        <v>11</v>
      </c>
    </row>
    <row r="84" spans="1:9" x14ac:dyDescent="0.3">
      <c r="A84" s="4" t="str">
        <v>DOM065</v>
      </c>
      <c r="B84" s="4" t="str">
        <f>_xlfn.XLOOKUP(A84,[1]!Tabla2[dispositivo],[1]!Tabla2[ubicación],"REVISAR")</f>
        <v>Av Mate De Luna y Thames</v>
      </c>
      <c r="C84" s="5">
        <v>5</v>
      </c>
      <c r="D84" s="6">
        <v>0.7142857142857143</v>
      </c>
      <c r="E84" s="5">
        <v>3</v>
      </c>
      <c r="F84" s="7">
        <v>0.42857142857142855</v>
      </c>
      <c r="G84" s="8" t="s">
        <v>16</v>
      </c>
      <c r="H84" s="8" t="s">
        <v>17</v>
      </c>
      <c r="I84" s="8" t="s">
        <v>11</v>
      </c>
    </row>
    <row r="85" spans="1:9" x14ac:dyDescent="0.3">
      <c r="A85" s="4" t="str">
        <v>DOM068</v>
      </c>
      <c r="B85" s="4" t="str">
        <f>_xlfn.XLOOKUP(A85,[1]!Tabla2[dispositivo],[1]!Tabla2[ubicación],"REVISAR")</f>
        <v>Av Soldati y Guatemala</v>
      </c>
      <c r="C85" s="5">
        <v>2</v>
      </c>
      <c r="D85" s="6">
        <v>0.2857142857142857</v>
      </c>
      <c r="E85" s="5">
        <v>1</v>
      </c>
      <c r="F85" s="7">
        <v>0.14285714285714285</v>
      </c>
      <c r="G85" s="8" t="s">
        <v>9</v>
      </c>
      <c r="H85" s="8" t="s">
        <v>10</v>
      </c>
      <c r="I85" s="8" t="s">
        <v>11</v>
      </c>
    </row>
    <row r="86" spans="1:9" x14ac:dyDescent="0.3">
      <c r="A86" s="4" t="str">
        <v>DOM069</v>
      </c>
      <c r="B86" s="4" t="str">
        <f>_xlfn.XLOOKUP(A86,[1]!Tabla2[dispositivo],[1]!Tabla2[ubicación],"REVISAR")</f>
        <v>Las Piedras y Chacabuco</v>
      </c>
      <c r="C86" s="5">
        <v>1</v>
      </c>
      <c r="D86" s="6">
        <v>0.14285714285714285</v>
      </c>
      <c r="E86" s="5">
        <v>1</v>
      </c>
      <c r="F86" s="7">
        <v>0.14285714285714285</v>
      </c>
      <c r="G86" s="8" t="s">
        <v>9</v>
      </c>
      <c r="H86" s="8" t="s">
        <v>10</v>
      </c>
      <c r="I86" s="8" t="s">
        <v>11</v>
      </c>
    </row>
    <row r="87" spans="1:9" x14ac:dyDescent="0.3">
      <c r="A87" s="4" t="str">
        <v>DOM071</v>
      </c>
      <c r="B87" s="4" t="str">
        <f>_xlfn.XLOOKUP(A87,[1]!Tabla2[dispositivo],[1]!Tabla2[ubicación],"REVISAR")</f>
        <v>Av Mate De Luna y R Cossio</v>
      </c>
      <c r="C87" s="5">
        <v>2</v>
      </c>
      <c r="D87" s="6">
        <v>0.2857142857142857</v>
      </c>
      <c r="E87" s="5">
        <v>2</v>
      </c>
      <c r="F87" s="7">
        <v>0.2857142857142857</v>
      </c>
      <c r="G87" s="8" t="s">
        <v>9</v>
      </c>
      <c r="H87" s="8" t="s">
        <v>10</v>
      </c>
      <c r="I87" s="8" t="s">
        <v>11</v>
      </c>
    </row>
    <row r="88" spans="1:9" x14ac:dyDescent="0.3">
      <c r="A88" s="4" t="str">
        <v>DOM072</v>
      </c>
      <c r="B88" s="4" t="str">
        <f>_xlfn.XLOOKUP(A88,[1]!Tabla2[dispositivo],[1]!Tabla2[ubicación],"REVISAR")</f>
        <v>Av. Roca y Pelegrini</v>
      </c>
      <c r="C88" s="5">
        <v>3</v>
      </c>
      <c r="D88" s="6">
        <v>0.42857142857142855</v>
      </c>
      <c r="E88" s="5">
        <v>2</v>
      </c>
      <c r="F88" s="7">
        <v>0.2857142857142857</v>
      </c>
      <c r="G88" s="8" t="s">
        <v>14</v>
      </c>
      <c r="H88" s="8" t="s">
        <v>15</v>
      </c>
      <c r="I88" s="8" t="s">
        <v>11</v>
      </c>
    </row>
    <row r="89" spans="1:9" x14ac:dyDescent="0.3">
      <c r="A89" s="4" t="str">
        <v>DOM073</v>
      </c>
      <c r="B89" s="4" t="str">
        <f>_xlfn.XLOOKUP(A89,[1]!Tabla2[dispositivo],[1]!Tabla2[ubicación],"REVISAR")</f>
        <v>Av Coronel Suarez y Guatemala</v>
      </c>
      <c r="C89" s="5">
        <v>3</v>
      </c>
      <c r="D89" s="6">
        <v>0.42857142857142855</v>
      </c>
      <c r="E89" s="5">
        <v>3</v>
      </c>
      <c r="F89" s="7">
        <v>0.42857142857142855</v>
      </c>
      <c r="G89" s="8" t="s">
        <v>14</v>
      </c>
      <c r="H89" s="8" t="s">
        <v>15</v>
      </c>
      <c r="I89" s="8" t="s">
        <v>11</v>
      </c>
    </row>
    <row r="90" spans="1:9" x14ac:dyDescent="0.3">
      <c r="A90" s="4" t="str">
        <v>DOM074</v>
      </c>
      <c r="B90" s="4" t="str">
        <f>_xlfn.XLOOKUP(A90,[1]!Tabla2[dispositivo],[1]!Tabla2[ubicación],"REVISAR")</f>
        <v>Av Gdor Del Campo y Av Soldati</v>
      </c>
      <c r="C90" s="5">
        <v>2</v>
      </c>
      <c r="D90" s="6">
        <v>0.2857142857142857</v>
      </c>
      <c r="E90" s="5">
        <v>2</v>
      </c>
      <c r="F90" s="7">
        <v>0.2857142857142857</v>
      </c>
      <c r="G90" s="8" t="s">
        <v>9</v>
      </c>
      <c r="H90" s="8" t="s">
        <v>10</v>
      </c>
      <c r="I90" s="8" t="s">
        <v>11</v>
      </c>
    </row>
    <row r="91" spans="1:9" x14ac:dyDescent="0.3">
      <c r="A91" s="4" t="str">
        <v>DOM075</v>
      </c>
      <c r="B91" s="4" t="str">
        <f>_xlfn.XLOOKUP(A91,[1]!Tabla2[dispositivo],[1]!Tabla2[ubicación],"REVISAR")</f>
        <v>Plazoleta Belgrano</v>
      </c>
      <c r="C91" s="5">
        <v>2</v>
      </c>
      <c r="D91" s="6">
        <v>0.2857142857142857</v>
      </c>
      <c r="E91" s="5">
        <v>2</v>
      </c>
      <c r="F91" s="7">
        <v>0.2857142857142857</v>
      </c>
      <c r="G91" s="8" t="s">
        <v>9</v>
      </c>
      <c r="H91" s="8" t="s">
        <v>10</v>
      </c>
      <c r="I91" s="8" t="s">
        <v>11</v>
      </c>
    </row>
    <row r="92" spans="1:9" x14ac:dyDescent="0.3">
      <c r="A92" s="4" t="str">
        <v>DOM076</v>
      </c>
      <c r="B92" s="4" t="str">
        <f>_xlfn.XLOOKUP(A92,[1]!Tabla2[dispositivo],[1]!Tabla2[ubicación],"REVISAR")</f>
        <v>Av Cnel Suarez y Eeuu</v>
      </c>
      <c r="C92" s="5">
        <v>1</v>
      </c>
      <c r="D92" s="6">
        <v>0.14285714285714285</v>
      </c>
      <c r="E92" s="5">
        <v>1</v>
      </c>
      <c r="F92" s="7">
        <v>0.14285714285714285</v>
      </c>
      <c r="G92" s="8" t="s">
        <v>9</v>
      </c>
      <c r="H92" s="8" t="s">
        <v>10</v>
      </c>
      <c r="I92" s="8" t="s">
        <v>11</v>
      </c>
    </row>
    <row r="93" spans="1:9" x14ac:dyDescent="0.3">
      <c r="A93" s="4" t="str">
        <v>DOM078</v>
      </c>
      <c r="B93" s="4" t="str">
        <f>_xlfn.XLOOKUP(A93,[1]!Tabla2[dispositivo],[1]!Tabla2[ubicación],"REVISAR")</f>
        <v>Av Mate De Luna y Av America</v>
      </c>
      <c r="C93" s="5">
        <v>3</v>
      </c>
      <c r="D93" s="6">
        <v>0.42857142857142855</v>
      </c>
      <c r="E93" s="5">
        <v>3</v>
      </c>
      <c r="F93" s="7">
        <v>0.42857142857142855</v>
      </c>
      <c r="G93" s="8" t="s">
        <v>14</v>
      </c>
      <c r="H93" s="8" t="s">
        <v>15</v>
      </c>
      <c r="I93" s="8" t="s">
        <v>11</v>
      </c>
    </row>
    <row r="94" spans="1:9" x14ac:dyDescent="0.3">
      <c r="A94" s="4" t="str">
        <v>DOM079</v>
      </c>
      <c r="B94" s="4" t="str">
        <f>_xlfn.XLOOKUP(A94,[1]!Tabla2[dispositivo],[1]!Tabla2[ubicación],"REVISAR")</f>
        <v>Av Brigido Teran y Santa Cruz</v>
      </c>
      <c r="C94" s="5">
        <v>1</v>
      </c>
      <c r="D94" s="6">
        <v>0.14285714285714285</v>
      </c>
      <c r="E94" s="5">
        <v>1</v>
      </c>
      <c r="F94" s="7">
        <v>0.14285714285714285</v>
      </c>
      <c r="G94" s="8" t="s">
        <v>9</v>
      </c>
      <c r="H94" s="8" t="s">
        <v>10</v>
      </c>
      <c r="I94" s="8" t="s">
        <v>11</v>
      </c>
    </row>
    <row r="95" spans="1:9" x14ac:dyDescent="0.3">
      <c r="A95" s="4" t="str">
        <v>DOM080</v>
      </c>
      <c r="B95" s="4" t="str">
        <f>_xlfn.XLOOKUP(A95,[1]!Tabla2[dispositivo],[1]!Tabla2[ubicación],"REVISAR")</f>
        <v>Tte Berdina y Paz Posse</v>
      </c>
      <c r="C95" s="5">
        <v>1</v>
      </c>
      <c r="D95" s="6">
        <v>0.14285714285714285</v>
      </c>
      <c r="E95" s="5">
        <v>1</v>
      </c>
      <c r="F95" s="7">
        <v>0.14285714285714285</v>
      </c>
      <c r="G95" s="8" t="s">
        <v>9</v>
      </c>
      <c r="H95" s="8" t="s">
        <v>10</v>
      </c>
      <c r="I95" s="8" t="s">
        <v>11</v>
      </c>
    </row>
    <row r="96" spans="1:9" x14ac:dyDescent="0.3">
      <c r="A96" s="4" t="str">
        <v>DOM084</v>
      </c>
      <c r="B96" s="4" t="str">
        <f>_xlfn.XLOOKUP(A96,[1]!Tabla2[dispositivo],[1]!Tabla2[ubicación],"REVISAR")</f>
        <v>Av. Juan Domingo Peron 1400</v>
      </c>
      <c r="C96" s="5">
        <v>8</v>
      </c>
      <c r="D96" s="6">
        <v>1.1428571428571428</v>
      </c>
      <c r="E96" s="5">
        <v>6</v>
      </c>
      <c r="F96" s="7">
        <v>0.8571428571428571</v>
      </c>
      <c r="G96" s="8" t="s">
        <v>16</v>
      </c>
      <c r="H96" s="8" t="s">
        <v>17</v>
      </c>
      <c r="I96" s="8" t="s">
        <v>18</v>
      </c>
    </row>
    <row r="97" spans="1:9" x14ac:dyDescent="0.3">
      <c r="A97" s="4" t="str">
        <v>DOM086</v>
      </c>
      <c r="B97" s="4" t="str">
        <f>_xlfn.XLOOKUP(A97,[1]!Tabla2[dispositivo],[1]!Tabla2[ubicación],"REVISAR")</f>
        <v>San Martin y Monteagudo</v>
      </c>
      <c r="C97" s="5">
        <v>1</v>
      </c>
      <c r="D97" s="6">
        <v>0.14285714285714285</v>
      </c>
      <c r="E97" s="5">
        <v>1</v>
      </c>
      <c r="F97" s="7">
        <v>0.14285714285714285</v>
      </c>
      <c r="G97" s="8" t="s">
        <v>9</v>
      </c>
      <c r="H97" s="8" t="s">
        <v>10</v>
      </c>
      <c r="I97" s="8" t="s">
        <v>11</v>
      </c>
    </row>
    <row r="98" spans="1:9" x14ac:dyDescent="0.3">
      <c r="A98" s="4" t="str">
        <v>DOM091</v>
      </c>
      <c r="B98" s="4" t="str">
        <f>_xlfn.XLOOKUP(A98,[1]!Tabla2[dispositivo],[1]!Tabla2[ubicación],"REVISAR")</f>
        <v>Santiago y Junin</v>
      </c>
      <c r="C98" s="5">
        <v>3</v>
      </c>
      <c r="D98" s="6">
        <v>0.42857142857142855</v>
      </c>
      <c r="E98" s="5">
        <v>2</v>
      </c>
      <c r="F98" s="7">
        <v>0.2857142857142857</v>
      </c>
      <c r="G98" s="8" t="s">
        <v>14</v>
      </c>
      <c r="H98" s="8" t="s">
        <v>15</v>
      </c>
      <c r="I98" s="8" t="s">
        <v>11</v>
      </c>
    </row>
    <row r="99" spans="1:9" x14ac:dyDescent="0.3">
      <c r="A99" s="4" t="str">
        <v>DOM092</v>
      </c>
      <c r="B99" s="4" t="str">
        <f>_xlfn.XLOOKUP(A99,[1]!Tabla2[dispositivo],[1]!Tabla2[ubicación],"REVISAR")</f>
        <v>Las Piedras y Congreso</v>
      </c>
      <c r="C99" s="5">
        <v>1</v>
      </c>
      <c r="D99" s="6">
        <v>0.14285714285714285</v>
      </c>
      <c r="E99" s="5">
        <v>1</v>
      </c>
      <c r="F99" s="7">
        <v>0.14285714285714285</v>
      </c>
      <c r="G99" s="8" t="s">
        <v>9</v>
      </c>
      <c r="H99" s="8" t="s">
        <v>10</v>
      </c>
      <c r="I99" s="8" t="s">
        <v>11</v>
      </c>
    </row>
    <row r="100" spans="1:9" x14ac:dyDescent="0.3">
      <c r="A100" s="4" t="str">
        <v>DOM093</v>
      </c>
      <c r="B100" s="4" t="str">
        <f>_xlfn.XLOOKUP(A100,[1]!Tabla2[dispositivo],[1]!Tabla2[ubicación],"REVISAR")</f>
        <v>Av Avellaneda y Francia</v>
      </c>
      <c r="C100" s="5">
        <v>1</v>
      </c>
      <c r="D100" s="6">
        <v>0.14285714285714285</v>
      </c>
      <c r="E100" s="5">
        <v>1</v>
      </c>
      <c r="F100" s="7">
        <v>0.14285714285714285</v>
      </c>
      <c r="G100" s="8" t="s">
        <v>9</v>
      </c>
      <c r="H100" s="8" t="s">
        <v>10</v>
      </c>
      <c r="I100" s="8" t="s">
        <v>11</v>
      </c>
    </row>
    <row r="101" spans="1:9" x14ac:dyDescent="0.3">
      <c r="A101" s="4" t="str">
        <v>DOM094</v>
      </c>
      <c r="B101" s="4" t="str">
        <f>_xlfn.XLOOKUP(A101,[1]!Tabla2[dispositivo],[1]!Tabla2[ubicación],"REVISAR")</f>
        <v>24 De Septiembre y Av. Mitre</v>
      </c>
      <c r="C101" s="5">
        <v>4</v>
      </c>
      <c r="D101" s="6">
        <v>0.5714285714285714</v>
      </c>
      <c r="E101" s="5">
        <v>4</v>
      </c>
      <c r="F101" s="7">
        <v>0.5714285714285714</v>
      </c>
      <c r="G101" s="8" t="s">
        <v>12</v>
      </c>
      <c r="H101" s="8" t="s">
        <v>13</v>
      </c>
      <c r="I101" s="8" t="s">
        <v>19</v>
      </c>
    </row>
    <row r="102" spans="1:9" x14ac:dyDescent="0.3">
      <c r="A102" s="4" t="str">
        <v>DOM096</v>
      </c>
      <c r="B102" s="4" t="str">
        <f>_xlfn.XLOOKUP(A102,[1]!Tabla2[dispositivo],[1]!Tabla2[ubicación],"REVISAR")</f>
        <v>Las Piedras y Ayacucho</v>
      </c>
      <c r="C102" s="5">
        <v>1</v>
      </c>
      <c r="D102" s="6">
        <v>0.14285714285714285</v>
      </c>
      <c r="E102" s="5">
        <v>1</v>
      </c>
      <c r="F102" s="7">
        <v>0.14285714285714285</v>
      </c>
      <c r="G102" s="8" t="s">
        <v>9</v>
      </c>
      <c r="H102" s="8" t="s">
        <v>10</v>
      </c>
      <c r="I102" s="8" t="s">
        <v>11</v>
      </c>
    </row>
    <row r="103" spans="1:9" x14ac:dyDescent="0.3">
      <c r="A103" s="4" t="str">
        <v>DOM097</v>
      </c>
      <c r="B103" s="4" t="str">
        <f>_xlfn.XLOOKUP(A103,[1]!Tabla2[dispositivo],[1]!Tabla2[ubicación],"REVISAR")</f>
        <v>Santa Fe y Muñecas</v>
      </c>
      <c r="C103" s="5">
        <v>1</v>
      </c>
      <c r="D103" s="6">
        <v>0.14285714285714285</v>
      </c>
      <c r="E103" s="5">
        <v>1</v>
      </c>
      <c r="F103" s="7">
        <v>0.14285714285714285</v>
      </c>
      <c r="G103" s="8" t="s">
        <v>9</v>
      </c>
      <c r="H103" s="8" t="s">
        <v>10</v>
      </c>
      <c r="I103" s="8" t="s">
        <v>11</v>
      </c>
    </row>
    <row r="104" spans="1:9" x14ac:dyDescent="0.3">
      <c r="A104" s="4" t="str">
        <v>DOM098</v>
      </c>
      <c r="B104" s="4" t="str">
        <f>_xlfn.XLOOKUP(A104,[1]!Tabla2[dispositivo],[1]!Tabla2[ubicación],"REVISAR")</f>
        <v>Av Mate De Luna y Lucas Cordoba</v>
      </c>
      <c r="C104" s="5">
        <v>2</v>
      </c>
      <c r="D104" s="6">
        <v>0.2857142857142857</v>
      </c>
      <c r="E104" s="5">
        <v>2</v>
      </c>
      <c r="F104" s="7">
        <v>0.2857142857142857</v>
      </c>
      <c r="G104" s="8" t="s">
        <v>9</v>
      </c>
      <c r="H104" s="8" t="s">
        <v>10</v>
      </c>
      <c r="I104" s="8" t="s">
        <v>11</v>
      </c>
    </row>
    <row r="105" spans="1:9" x14ac:dyDescent="0.3">
      <c r="A105" s="4" t="str">
        <v>DOM102</v>
      </c>
      <c r="B105" s="4" t="str">
        <f>_xlfn.XLOOKUP(A105,[1]!Tabla2[dispositivo],[1]!Tabla2[ubicación],"REVISAR")</f>
        <v>Av. Sarmiento Y Laprida</v>
      </c>
      <c r="C105" s="5">
        <v>1</v>
      </c>
      <c r="D105" s="6">
        <v>0.14285714285714285</v>
      </c>
      <c r="E105" s="5">
        <v>1</v>
      </c>
      <c r="F105" s="7">
        <v>0.14285714285714285</v>
      </c>
      <c r="G105" s="8" t="s">
        <v>9</v>
      </c>
      <c r="H105" s="8" t="s">
        <v>10</v>
      </c>
      <c r="I105" s="8" t="s">
        <v>11</v>
      </c>
    </row>
    <row r="106" spans="1:9" x14ac:dyDescent="0.3">
      <c r="A106" s="4" t="str">
        <v>DOM104</v>
      </c>
      <c r="B106" s="4" t="str">
        <f>_xlfn.XLOOKUP(A106,[1]!Tabla2[dispositivo],[1]!Tabla2[ubicación],"REVISAR")</f>
        <v>Av. Sarmiento y Junin</v>
      </c>
      <c r="C106" s="5">
        <v>2</v>
      </c>
      <c r="D106" s="6">
        <v>0.2857142857142857</v>
      </c>
      <c r="E106" s="5">
        <v>1</v>
      </c>
      <c r="F106" s="7">
        <v>0.14285714285714285</v>
      </c>
      <c r="G106" s="8" t="s">
        <v>9</v>
      </c>
      <c r="H106" s="8" t="s">
        <v>10</v>
      </c>
      <c r="I106" s="8" t="s">
        <v>11</v>
      </c>
    </row>
    <row r="107" spans="1:9" x14ac:dyDescent="0.3">
      <c r="A107" s="4" t="str">
        <v>DOM105</v>
      </c>
      <c r="B107" s="4" t="str">
        <f>_xlfn.XLOOKUP(A107,[1]!Tabla2[dispositivo],[1]!Tabla2[ubicación],"REVISAR")</f>
        <v>Av. Sarmiento Y Marco Avellaneda</v>
      </c>
      <c r="C107" s="5">
        <v>4</v>
      </c>
      <c r="D107" s="6">
        <v>0.5714285714285714</v>
      </c>
      <c r="E107" s="5">
        <v>4</v>
      </c>
      <c r="F107" s="7">
        <v>0.5714285714285714</v>
      </c>
      <c r="G107" s="8" t="s">
        <v>12</v>
      </c>
      <c r="H107" s="8" t="s">
        <v>13</v>
      </c>
      <c r="I107" s="8" t="s">
        <v>19</v>
      </c>
    </row>
    <row r="108" spans="1:9" x14ac:dyDescent="0.3">
      <c r="A108" s="4" t="str">
        <v>DOM106</v>
      </c>
      <c r="B108" s="4" t="str">
        <f>_xlfn.XLOOKUP(A108,[1]!Tabla2[dispositivo],[1]!Tabla2[ubicación],"REVISAR")</f>
        <v>Av. Mitre Y Santa Fe</v>
      </c>
      <c r="C108" s="5">
        <v>3</v>
      </c>
      <c r="D108" s="6">
        <v>0.42857142857142855</v>
      </c>
      <c r="E108" s="5">
        <v>3</v>
      </c>
      <c r="F108" s="7">
        <v>0.42857142857142855</v>
      </c>
      <c r="G108" s="8" t="s">
        <v>14</v>
      </c>
      <c r="H108" s="8" t="s">
        <v>15</v>
      </c>
      <c r="I108" s="8" t="s">
        <v>11</v>
      </c>
    </row>
    <row r="109" spans="1:9" x14ac:dyDescent="0.3">
      <c r="A109" s="4" t="str">
        <v>DOM108</v>
      </c>
      <c r="B109" s="4" t="str">
        <f>_xlfn.XLOOKUP(A109,[1]!Tabla2[dispositivo],[1]!Tabla2[ubicación],"REVISAR")</f>
        <v>Santa Fe Y Catamarca</v>
      </c>
      <c r="C109" s="5">
        <v>2</v>
      </c>
      <c r="D109" s="6">
        <v>0.2857142857142857</v>
      </c>
      <c r="E109" s="5">
        <v>2</v>
      </c>
      <c r="F109" s="7">
        <v>0.2857142857142857</v>
      </c>
      <c r="G109" s="8" t="s">
        <v>9</v>
      </c>
      <c r="H109" s="8" t="s">
        <v>10</v>
      </c>
      <c r="I109" s="8" t="s">
        <v>11</v>
      </c>
    </row>
    <row r="110" spans="1:9" x14ac:dyDescent="0.3">
      <c r="A110" s="4" t="str">
        <v>DOM118</v>
      </c>
      <c r="B110" s="4" t="str">
        <f>_xlfn.XLOOKUP(A110,[1]!Tabla2[dispositivo],[1]!Tabla2[ubicación],"REVISAR")</f>
        <v>Marcos Paz Y Monteagudo</v>
      </c>
      <c r="C110" s="5">
        <v>1</v>
      </c>
      <c r="D110" s="6">
        <v>0.14285714285714285</v>
      </c>
      <c r="E110" s="5">
        <v>1</v>
      </c>
      <c r="F110" s="7">
        <v>0.14285714285714285</v>
      </c>
      <c r="G110" s="8" t="s">
        <v>9</v>
      </c>
      <c r="H110" s="8" t="s">
        <v>10</v>
      </c>
      <c r="I110" s="8" t="s">
        <v>11</v>
      </c>
    </row>
    <row r="111" spans="1:9" x14ac:dyDescent="0.3">
      <c r="A111" s="4" t="str">
        <v>DOM119</v>
      </c>
      <c r="B111" s="4" t="str">
        <f>_xlfn.XLOOKUP(A111,[1]!Tabla2[dispositivo],[1]!Tabla2[ubicación],"REVISAR")</f>
        <v>Marcos Paz Y Laprida</v>
      </c>
      <c r="C111" s="5">
        <v>1</v>
      </c>
      <c r="D111" s="6">
        <v>0.14285714285714285</v>
      </c>
      <c r="E111" s="5">
        <v>1</v>
      </c>
      <c r="F111" s="7">
        <v>0.14285714285714285</v>
      </c>
      <c r="G111" s="8" t="s">
        <v>9</v>
      </c>
      <c r="H111" s="8" t="s">
        <v>10</v>
      </c>
      <c r="I111" s="8" t="s">
        <v>11</v>
      </c>
    </row>
    <row r="112" spans="1:9" x14ac:dyDescent="0.3">
      <c r="A112" s="4" t="str">
        <v>DOM123</v>
      </c>
      <c r="B112" s="4" t="str">
        <f>_xlfn.XLOOKUP(A112,[1]!Tabla2[dispositivo],[1]!Tabla2[ubicación],"REVISAR")</f>
        <v>Marcospaz y Salta</v>
      </c>
      <c r="C112" s="5">
        <v>3</v>
      </c>
      <c r="D112" s="6">
        <v>0.42857142857142855</v>
      </c>
      <c r="E112" s="5">
        <v>2</v>
      </c>
      <c r="F112" s="7">
        <v>0.2857142857142857</v>
      </c>
      <c r="G112" s="8" t="s">
        <v>14</v>
      </c>
      <c r="H112" s="8" t="s">
        <v>15</v>
      </c>
      <c r="I112" s="8" t="s">
        <v>11</v>
      </c>
    </row>
    <row r="113" spans="1:9" x14ac:dyDescent="0.3">
      <c r="A113" s="4" t="str">
        <v>DOM126</v>
      </c>
      <c r="B113" s="4" t="str">
        <f>_xlfn.XLOOKUP(A113,[1]!Tabla2[dispositivo],[1]!Tabla2[ubicación],"REVISAR")</f>
        <v>Av. Mitre y Corrientes</v>
      </c>
      <c r="C113" s="5">
        <v>3</v>
      </c>
      <c r="D113" s="6">
        <v>0.42857142857142855</v>
      </c>
      <c r="E113" s="5">
        <v>3</v>
      </c>
      <c r="F113" s="7">
        <v>0.42857142857142855</v>
      </c>
      <c r="G113" s="8" t="s">
        <v>14</v>
      </c>
      <c r="H113" s="8" t="s">
        <v>15</v>
      </c>
      <c r="I113" s="8" t="s">
        <v>11</v>
      </c>
    </row>
    <row r="114" spans="1:9" x14ac:dyDescent="0.3">
      <c r="A114" s="4" t="str">
        <v>DOM136</v>
      </c>
      <c r="B114" s="4" t="str">
        <f>_xlfn.XLOOKUP(A114,[1]!Tabla2[dispositivo],[1]!Tabla2[ubicación],"REVISAR")</f>
        <v>Corrientes y Balcarce</v>
      </c>
      <c r="C114" s="5">
        <v>1</v>
      </c>
      <c r="D114" s="6">
        <v>0.14285714285714285</v>
      </c>
      <c r="E114" s="5">
        <v>1</v>
      </c>
      <c r="F114" s="7">
        <v>0.14285714285714285</v>
      </c>
      <c r="G114" s="8" t="s">
        <v>9</v>
      </c>
      <c r="H114" s="8" t="s">
        <v>10</v>
      </c>
      <c r="I114" s="8" t="s">
        <v>11</v>
      </c>
    </row>
    <row r="115" spans="1:9" x14ac:dyDescent="0.3">
      <c r="A115" s="4" t="str">
        <v>DOM137</v>
      </c>
      <c r="B115" s="4" t="str">
        <f>_xlfn.XLOOKUP(A115,[1]!Tabla2[dispositivo],[1]!Tabla2[ubicación],"REVISAR")</f>
        <v>Av.avell y Honduras</v>
      </c>
      <c r="C115" s="5">
        <v>1</v>
      </c>
      <c r="D115" s="6">
        <v>0.14285714285714285</v>
      </c>
      <c r="E115" s="5">
        <v>1</v>
      </c>
      <c r="F115" s="7">
        <v>0.14285714285714285</v>
      </c>
      <c r="G115" s="8" t="s">
        <v>9</v>
      </c>
      <c r="H115" s="8" t="s">
        <v>10</v>
      </c>
      <c r="I115" s="8" t="s">
        <v>11</v>
      </c>
    </row>
    <row r="116" spans="1:9" x14ac:dyDescent="0.3">
      <c r="A116" s="4" t="str">
        <v>DOM138</v>
      </c>
      <c r="B116" s="4" t="str">
        <f>_xlfn.XLOOKUP(A116,[1]!Tabla2[dispositivo],[1]!Tabla2[ubicación],"REVISAR")</f>
        <v>Av. Avellaneda y Haiti</v>
      </c>
      <c r="C116" s="5">
        <v>4</v>
      </c>
      <c r="D116" s="6">
        <v>0.5714285714285714</v>
      </c>
      <c r="E116" s="5">
        <v>2</v>
      </c>
      <c r="F116" s="7">
        <v>0.2857142857142857</v>
      </c>
      <c r="G116" s="8" t="s">
        <v>12</v>
      </c>
      <c r="H116" s="8" t="s">
        <v>13</v>
      </c>
      <c r="I116" s="8" t="s">
        <v>11</v>
      </c>
    </row>
    <row r="117" spans="1:9" x14ac:dyDescent="0.3">
      <c r="A117" s="4" t="str">
        <v>DOM140</v>
      </c>
      <c r="B117" s="4" t="str">
        <f>_xlfn.XLOOKUP(A117,[1]!Tabla2[dispositivo],[1]!Tabla2[ubicación],"REVISAR")</f>
        <v>Santiago Y Marco Avellaneda</v>
      </c>
      <c r="C117" s="5">
        <v>2</v>
      </c>
      <c r="D117" s="6">
        <v>0.2857142857142857</v>
      </c>
      <c r="E117" s="5">
        <v>2</v>
      </c>
      <c r="F117" s="7">
        <v>0.2857142857142857</v>
      </c>
      <c r="G117" s="8" t="s">
        <v>9</v>
      </c>
      <c r="H117" s="8" t="s">
        <v>10</v>
      </c>
      <c r="I117" s="8" t="s">
        <v>11</v>
      </c>
    </row>
    <row r="118" spans="1:9" x14ac:dyDescent="0.3">
      <c r="A118" s="4" t="str">
        <v>DOM141</v>
      </c>
      <c r="B118" s="4" t="str">
        <f>_xlfn.XLOOKUP(A118,[1]!Tabla2[dispositivo],[1]!Tabla2[ubicación],"REVISAR")</f>
        <v>Av. Mitre y San Juan</v>
      </c>
      <c r="C118" s="5">
        <v>2</v>
      </c>
      <c r="D118" s="6">
        <v>0.2857142857142857</v>
      </c>
      <c r="E118" s="5">
        <v>2</v>
      </c>
      <c r="F118" s="7">
        <v>0.2857142857142857</v>
      </c>
      <c r="G118" s="8" t="s">
        <v>9</v>
      </c>
      <c r="H118" s="8" t="s">
        <v>10</v>
      </c>
      <c r="I118" s="8" t="s">
        <v>11</v>
      </c>
    </row>
    <row r="119" spans="1:9" x14ac:dyDescent="0.3">
      <c r="A119" s="4" t="str">
        <v>DOM143</v>
      </c>
      <c r="B119" s="4" t="str">
        <f>_xlfn.XLOOKUP(A119,[1]!Tabla2[dispositivo],[1]!Tabla2[ubicación],"REVISAR")</f>
        <v>San Juan Y Marco Avellaneda</v>
      </c>
      <c r="C119" s="5">
        <v>1</v>
      </c>
      <c r="D119" s="6">
        <v>0.14285714285714285</v>
      </c>
      <c r="E119" s="5">
        <v>1</v>
      </c>
      <c r="F119" s="7">
        <v>0.14285714285714285</v>
      </c>
      <c r="G119" s="8" t="s">
        <v>9</v>
      </c>
      <c r="H119" s="8" t="s">
        <v>10</v>
      </c>
      <c r="I119" s="8" t="s">
        <v>11</v>
      </c>
    </row>
    <row r="120" spans="1:9" x14ac:dyDescent="0.3">
      <c r="A120" s="4" t="str">
        <v>DOM144</v>
      </c>
      <c r="B120" s="4" t="str">
        <f>_xlfn.XLOOKUP(A120,[1]!Tabla2[dispositivo],[1]!Tabla2[ubicación],"REVISAR")</f>
        <v>San Juan y J. Colombre</v>
      </c>
      <c r="C120" s="5">
        <v>1</v>
      </c>
      <c r="D120" s="6">
        <v>0.14285714285714285</v>
      </c>
      <c r="E120" s="5">
        <v>1</v>
      </c>
      <c r="F120" s="7">
        <v>0.14285714285714285</v>
      </c>
      <c r="G120" s="8" t="s">
        <v>9</v>
      </c>
      <c r="H120" s="8" t="s">
        <v>10</v>
      </c>
      <c r="I120" s="8" t="s">
        <v>11</v>
      </c>
    </row>
    <row r="121" spans="1:9" x14ac:dyDescent="0.3">
      <c r="A121" s="4" t="str">
        <v>DOM146</v>
      </c>
      <c r="B121" s="4" t="str">
        <f>_xlfn.XLOOKUP(A121,[1]!Tabla2[dispositivo],[1]!Tabla2[ubicación],"REVISAR")</f>
        <v>San Juan Y Balcarce</v>
      </c>
      <c r="C121" s="5">
        <v>1</v>
      </c>
      <c r="D121" s="6">
        <v>0.14285714285714285</v>
      </c>
      <c r="E121" s="5">
        <v>1</v>
      </c>
      <c r="F121" s="7">
        <v>0.14285714285714285</v>
      </c>
      <c r="G121" s="8" t="s">
        <v>9</v>
      </c>
      <c r="H121" s="8" t="s">
        <v>10</v>
      </c>
      <c r="I121" s="8" t="s">
        <v>11</v>
      </c>
    </row>
    <row r="122" spans="1:9" x14ac:dyDescent="0.3">
      <c r="A122" s="4" t="str">
        <v>DOM152</v>
      </c>
      <c r="B122" s="4" t="str">
        <f>_xlfn.XLOOKUP(A122,[1]!Tabla2[dispositivo],[1]!Tabla2[ubicación],"REVISAR")</f>
        <v>Av. Mitre y Cordoba</v>
      </c>
      <c r="C122" s="5">
        <v>1</v>
      </c>
      <c r="D122" s="6">
        <v>0.14285714285714285</v>
      </c>
      <c r="E122" s="5">
        <v>1</v>
      </c>
      <c r="F122" s="7">
        <v>0.14285714285714285</v>
      </c>
      <c r="G122" s="8" t="s">
        <v>9</v>
      </c>
      <c r="H122" s="8" t="s">
        <v>10</v>
      </c>
      <c r="I122" s="8" t="s">
        <v>11</v>
      </c>
    </row>
    <row r="123" spans="1:9" x14ac:dyDescent="0.3">
      <c r="A123" s="4" t="str">
        <v>DOM153</v>
      </c>
      <c r="B123" s="4" t="str">
        <f>_xlfn.XLOOKUP(A123,[1]!Tabla2[dispositivo],[1]!Tabla2[ubicación],"REVISAR")</f>
        <v>Av. Mitre y Mendoza</v>
      </c>
      <c r="C123" s="5">
        <v>1</v>
      </c>
      <c r="D123" s="6">
        <v>0.14285714285714285</v>
      </c>
      <c r="E123" s="5">
        <v>1</v>
      </c>
      <c r="F123" s="7">
        <v>0.14285714285714285</v>
      </c>
      <c r="G123" s="8" t="s">
        <v>9</v>
      </c>
      <c r="H123" s="8" t="s">
        <v>10</v>
      </c>
      <c r="I123" s="8" t="s">
        <v>11</v>
      </c>
    </row>
    <row r="124" spans="1:9" x14ac:dyDescent="0.3">
      <c r="A124" s="4" t="str">
        <v>DOM158</v>
      </c>
      <c r="B124" s="4" t="str">
        <f>_xlfn.XLOOKUP(A124,[1]!Tabla2[dispositivo],[1]!Tabla2[ubicación],"REVISAR")</f>
        <v>Av. Avellaneda y Mendoza</v>
      </c>
      <c r="C124" s="5">
        <v>2</v>
      </c>
      <c r="D124" s="6">
        <v>0.2857142857142857</v>
      </c>
      <c r="E124" s="5">
        <v>2</v>
      </c>
      <c r="F124" s="7">
        <v>0.2857142857142857</v>
      </c>
      <c r="G124" s="8" t="s">
        <v>9</v>
      </c>
      <c r="H124" s="8" t="s">
        <v>10</v>
      </c>
      <c r="I124" s="8" t="s">
        <v>11</v>
      </c>
    </row>
    <row r="125" spans="1:9" x14ac:dyDescent="0.3">
      <c r="A125" s="4" t="str">
        <v>DOM163</v>
      </c>
      <c r="B125" s="4" t="str">
        <f>_xlfn.XLOOKUP(A125,[1]!Tabla2[dispositivo],[1]!Tabla2[ubicación],"REVISAR")</f>
        <v>San Martin Y Marco Avellaneda</v>
      </c>
      <c r="C125" s="5">
        <v>1</v>
      </c>
      <c r="D125" s="6">
        <v>0.14285714285714285</v>
      </c>
      <c r="E125" s="5">
        <v>1</v>
      </c>
      <c r="F125" s="7">
        <v>0.14285714285714285</v>
      </c>
      <c r="G125" s="8" t="s">
        <v>9</v>
      </c>
      <c r="H125" s="8" t="s">
        <v>10</v>
      </c>
      <c r="I125" s="8" t="s">
        <v>11</v>
      </c>
    </row>
    <row r="126" spans="1:9" x14ac:dyDescent="0.3">
      <c r="A126" s="4" t="str">
        <v>DOM164</v>
      </c>
      <c r="B126" s="4" t="str">
        <f>_xlfn.XLOOKUP(A126,[1]!Tabla2[dispositivo],[1]!Tabla2[ubicación],"REVISAR")</f>
        <v>San Martin Y Suipacha</v>
      </c>
      <c r="C126" s="5">
        <v>1</v>
      </c>
      <c r="D126" s="6">
        <v>0.14285714285714285</v>
      </c>
      <c r="E126" s="5">
        <v>1</v>
      </c>
      <c r="F126" s="7">
        <v>0.14285714285714285</v>
      </c>
      <c r="G126" s="8" t="s">
        <v>9</v>
      </c>
      <c r="H126" s="8" t="s">
        <v>10</v>
      </c>
      <c r="I126" s="8" t="s">
        <v>11</v>
      </c>
    </row>
    <row r="127" spans="1:9" x14ac:dyDescent="0.3">
      <c r="A127" s="4" t="str">
        <v>DOM165</v>
      </c>
      <c r="B127" s="4" t="str">
        <f>_xlfn.XLOOKUP(A127,[1]!Tabla2[dispositivo],[1]!Tabla2[ubicación],"REVISAR")</f>
        <v>Av. Mitre y San Martin</v>
      </c>
      <c r="C127" s="5">
        <v>4</v>
      </c>
      <c r="D127" s="6">
        <v>0.5714285714285714</v>
      </c>
      <c r="E127" s="5">
        <v>2</v>
      </c>
      <c r="F127" s="7">
        <v>0.2857142857142857</v>
      </c>
      <c r="G127" s="8" t="s">
        <v>12</v>
      </c>
      <c r="H127" s="8" t="s">
        <v>13</v>
      </c>
      <c r="I127" s="8" t="s">
        <v>11</v>
      </c>
    </row>
    <row r="128" spans="1:9" x14ac:dyDescent="0.3">
      <c r="A128" s="4" t="str">
        <v>DOM166</v>
      </c>
      <c r="B128" s="4" t="str">
        <f>_xlfn.XLOOKUP(A128,[1]!Tabla2[dispositivo],[1]!Tabla2[ubicación],"REVISAR")</f>
        <v>Av. 24 De Septiembre Y San Luis</v>
      </c>
      <c r="C128" s="5">
        <v>3</v>
      </c>
      <c r="D128" s="6">
        <v>0.42857142857142855</v>
      </c>
      <c r="E128" s="5">
        <v>2</v>
      </c>
      <c r="F128" s="7">
        <v>0.2857142857142857</v>
      </c>
      <c r="G128" s="8" t="s">
        <v>14</v>
      </c>
      <c r="H128" s="8" t="s">
        <v>15</v>
      </c>
      <c r="I128" s="8" t="s">
        <v>11</v>
      </c>
    </row>
    <row r="129" spans="1:9" x14ac:dyDescent="0.3">
      <c r="A129" s="4" t="str">
        <v>DOM167</v>
      </c>
      <c r="B129" s="4" t="str">
        <f>_xlfn.XLOOKUP(A129,[1]!Tabla2[dispositivo],[1]!Tabla2[ubicación],"REVISAR")</f>
        <v>24 De Septiembre Y Virgen De La Merced</v>
      </c>
      <c r="C129" s="5">
        <v>2</v>
      </c>
      <c r="D129" s="6">
        <v>0.2857142857142857</v>
      </c>
      <c r="E129" s="5">
        <v>2</v>
      </c>
      <c r="F129" s="7">
        <v>0.2857142857142857</v>
      </c>
      <c r="G129" s="8" t="s">
        <v>9</v>
      </c>
      <c r="H129" s="8" t="s">
        <v>10</v>
      </c>
      <c r="I129" s="8" t="s">
        <v>11</v>
      </c>
    </row>
    <row r="130" spans="1:9" x14ac:dyDescent="0.3">
      <c r="A130" s="4" t="str">
        <v>DOM168</v>
      </c>
      <c r="B130" s="4" t="str">
        <f>_xlfn.XLOOKUP(A130,[1]!Tabla2[dispositivo],[1]!Tabla2[ubicación],"REVISAR")</f>
        <v>24 De Septiembre y Balcarce</v>
      </c>
      <c r="C130" s="5">
        <v>1</v>
      </c>
      <c r="D130" s="6">
        <v>0.14285714285714285</v>
      </c>
      <c r="E130" s="5">
        <v>1</v>
      </c>
      <c r="F130" s="7">
        <v>0.14285714285714285</v>
      </c>
      <c r="G130" s="8" t="s">
        <v>9</v>
      </c>
      <c r="H130" s="8" t="s">
        <v>10</v>
      </c>
      <c r="I130" s="8" t="s">
        <v>11</v>
      </c>
    </row>
    <row r="131" spans="1:9" x14ac:dyDescent="0.3">
      <c r="A131" s="4" t="str">
        <v>DOM172</v>
      </c>
      <c r="B131" s="4" t="str">
        <f>_xlfn.XLOOKUP(A131,[1]!Tabla2[dispositivo],[1]!Tabla2[ubicación],"REVISAR")</f>
        <v>San Lorenzo Y Alberdi</v>
      </c>
      <c r="C131" s="5">
        <v>1</v>
      </c>
      <c r="D131" s="6">
        <v>0.14285714285714285</v>
      </c>
      <c r="E131" s="5">
        <v>1</v>
      </c>
      <c r="F131" s="7">
        <v>0.14285714285714285</v>
      </c>
      <c r="G131" s="8" t="s">
        <v>9</v>
      </c>
      <c r="H131" s="8" t="s">
        <v>10</v>
      </c>
      <c r="I131" s="8" t="s">
        <v>11</v>
      </c>
    </row>
    <row r="132" spans="1:9" x14ac:dyDescent="0.3">
      <c r="A132" s="4" t="str">
        <v>DOM175</v>
      </c>
      <c r="B132" s="4" t="str">
        <f>_xlfn.XLOOKUP(A132,[1]!Tabla2[dispositivo],[1]!Tabla2[ubicación],"REVISAR")</f>
        <v>Av. Saenz Peña Y San Lorenzo</v>
      </c>
      <c r="C132" s="5">
        <v>1</v>
      </c>
      <c r="D132" s="6">
        <v>0.14285714285714285</v>
      </c>
      <c r="E132" s="5">
        <v>1</v>
      </c>
      <c r="F132" s="7">
        <v>0.14285714285714285</v>
      </c>
      <c r="G132" s="8" t="s">
        <v>9</v>
      </c>
      <c r="H132" s="8" t="s">
        <v>10</v>
      </c>
      <c r="I132" s="8" t="s">
        <v>11</v>
      </c>
    </row>
    <row r="133" spans="1:9" x14ac:dyDescent="0.3">
      <c r="A133" s="4" t="str">
        <v>DOM179</v>
      </c>
      <c r="B133" s="4" t="str">
        <f>_xlfn.XLOOKUP(A133,[1]!Tabla2[dispositivo],[1]!Tabla2[ubicación],"REVISAR")</f>
        <v>Las Piedras Y Bernabe Araoz</v>
      </c>
      <c r="C133" s="5">
        <v>5</v>
      </c>
      <c r="D133" s="6">
        <v>0.7142857142857143</v>
      </c>
      <c r="E133" s="5">
        <v>4</v>
      </c>
      <c r="F133" s="7">
        <v>0.5714285714285714</v>
      </c>
      <c r="G133" s="8" t="s">
        <v>16</v>
      </c>
      <c r="H133" s="8" t="s">
        <v>17</v>
      </c>
      <c r="I133" s="8" t="s">
        <v>18</v>
      </c>
    </row>
    <row r="134" spans="1:9" x14ac:dyDescent="0.3">
      <c r="A134" s="4" t="str">
        <v>DOM184</v>
      </c>
      <c r="B134" s="4" t="str">
        <f>_xlfn.XLOOKUP(A134,[1]!Tabla2[dispositivo],[1]!Tabla2[ubicación],"REVISAR")</f>
        <v>Av. Saenz Peña Y Lamadrid</v>
      </c>
      <c r="C134" s="5">
        <v>1</v>
      </c>
      <c r="D134" s="6">
        <v>0.14285714285714285</v>
      </c>
      <c r="E134" s="5">
        <v>1</v>
      </c>
      <c r="F134" s="7">
        <v>0.14285714285714285</v>
      </c>
      <c r="G134" s="8" t="s">
        <v>9</v>
      </c>
      <c r="H134" s="8" t="s">
        <v>10</v>
      </c>
      <c r="I134" s="8" t="s">
        <v>11</v>
      </c>
    </row>
    <row r="135" spans="1:9" x14ac:dyDescent="0.3">
      <c r="A135" s="4" t="str">
        <v>DOM185</v>
      </c>
      <c r="B135" s="4" t="str">
        <f>_xlfn.XLOOKUP(A135,[1]!Tabla2[dispositivo],[1]!Tabla2[ubicación],"REVISAR")</f>
        <v>Lamadrid y Moreno</v>
      </c>
      <c r="C135" s="5">
        <v>1</v>
      </c>
      <c r="D135" s="6">
        <v>0.14285714285714285</v>
      </c>
      <c r="E135" s="5">
        <v>1</v>
      </c>
      <c r="F135" s="7">
        <v>0.14285714285714285</v>
      </c>
      <c r="G135" s="8" t="s">
        <v>9</v>
      </c>
      <c r="H135" s="8" t="s">
        <v>10</v>
      </c>
      <c r="I135" s="8" t="s">
        <v>11</v>
      </c>
    </row>
    <row r="136" spans="1:9" x14ac:dyDescent="0.3">
      <c r="A136" s="4" t="str">
        <v>DOM187</v>
      </c>
      <c r="B136" s="4" t="str">
        <f>_xlfn.XLOOKUP(A136,[1]!Tabla2[dispositivo],[1]!Tabla2[ubicación],"REVISAR")</f>
        <v>Lamadrid Y Congreso</v>
      </c>
      <c r="C136" s="5">
        <v>1</v>
      </c>
      <c r="D136" s="6">
        <v>0.14285714285714285</v>
      </c>
      <c r="E136" s="5">
        <v>1</v>
      </c>
      <c r="F136" s="7">
        <v>0.14285714285714285</v>
      </c>
      <c r="G136" s="8" t="s">
        <v>9</v>
      </c>
      <c r="H136" s="8" t="s">
        <v>10</v>
      </c>
      <c r="I136" s="8" t="s">
        <v>11</v>
      </c>
    </row>
    <row r="137" spans="1:9" x14ac:dyDescent="0.3">
      <c r="A137" s="4" t="str">
        <v>DOM189</v>
      </c>
      <c r="B137" s="4" t="str">
        <f>_xlfn.XLOOKUP(A137,[1]!Tabla2[dispositivo],[1]!Tabla2[ubicación],"REVISAR")</f>
        <v>Lamadrid Y Chacabuco</v>
      </c>
      <c r="C137" s="5">
        <v>1</v>
      </c>
      <c r="D137" s="6">
        <v>0.14285714285714285</v>
      </c>
      <c r="E137" s="5">
        <v>1</v>
      </c>
      <c r="F137" s="7">
        <v>0.14285714285714285</v>
      </c>
      <c r="G137" s="8" t="s">
        <v>9</v>
      </c>
      <c r="H137" s="8" t="s">
        <v>10</v>
      </c>
      <c r="I137" s="8" t="s">
        <v>11</v>
      </c>
    </row>
    <row r="138" spans="1:9" x14ac:dyDescent="0.3">
      <c r="A138" s="4" t="str">
        <v>DOM190</v>
      </c>
      <c r="B138" s="4" t="str">
        <f>_xlfn.XLOOKUP(A138,[1]!Tabla2[dispositivo],[1]!Tabla2[ubicación],"REVISAR")</f>
        <v>Lamadrid Y  Jujuy</v>
      </c>
      <c r="C138" s="5">
        <v>1</v>
      </c>
      <c r="D138" s="6">
        <v>0.14285714285714285</v>
      </c>
      <c r="E138" s="5">
        <v>1</v>
      </c>
      <c r="F138" s="7">
        <v>0.14285714285714285</v>
      </c>
      <c r="G138" s="8" t="s">
        <v>9</v>
      </c>
      <c r="H138" s="8" t="s">
        <v>10</v>
      </c>
      <c r="I138" s="8" t="s">
        <v>11</v>
      </c>
    </row>
    <row r="139" spans="1:9" x14ac:dyDescent="0.3">
      <c r="A139" s="4" t="str">
        <v>DOM193</v>
      </c>
      <c r="B139" s="4" t="str">
        <f>_xlfn.XLOOKUP(A139,[1]!Tabla2[dispositivo],[1]!Tabla2[ubicación],"REVISAR")</f>
        <v>Lamadrid Y Bernabe Araoz</v>
      </c>
      <c r="C139" s="5">
        <v>3</v>
      </c>
      <c r="D139" s="6">
        <v>0.42857142857142855</v>
      </c>
      <c r="E139" s="5">
        <v>2</v>
      </c>
      <c r="F139" s="7">
        <v>0.2857142857142857</v>
      </c>
      <c r="G139" s="8" t="s">
        <v>14</v>
      </c>
      <c r="H139" s="8" t="s">
        <v>15</v>
      </c>
      <c r="I139" s="8" t="s">
        <v>11</v>
      </c>
    </row>
    <row r="140" spans="1:9" x14ac:dyDescent="0.3">
      <c r="A140" s="4" t="str">
        <v>DOM198</v>
      </c>
      <c r="B140" s="4" t="str">
        <f>_xlfn.XLOOKUP(A140,[1]!Tabla2[dispositivo],[1]!Tabla2[ubicación],"REVISAR")</f>
        <v>Bolivar y Buenos Aires</v>
      </c>
      <c r="C140" s="5">
        <v>2</v>
      </c>
      <c r="D140" s="6">
        <v>0.2857142857142857</v>
      </c>
      <c r="E140" s="5">
        <v>1</v>
      </c>
      <c r="F140" s="7">
        <v>0.14285714285714285</v>
      </c>
      <c r="G140" s="8" t="s">
        <v>9</v>
      </c>
      <c r="H140" s="8" t="s">
        <v>10</v>
      </c>
      <c r="I140" s="8" t="s">
        <v>11</v>
      </c>
    </row>
    <row r="141" spans="1:9" x14ac:dyDescent="0.3">
      <c r="A141" s="4" t="str">
        <v>DOM199</v>
      </c>
      <c r="B141" s="4" t="str">
        <f>_xlfn.XLOOKUP(A141,[1]!Tabla2[dispositivo],[1]!Tabla2[ubicación],"REVISAR")</f>
        <v>Bolivar y Chacabuco</v>
      </c>
      <c r="C141" s="5">
        <v>1</v>
      </c>
      <c r="D141" s="6">
        <v>0.14285714285714285</v>
      </c>
      <c r="E141" s="5">
        <v>1</v>
      </c>
      <c r="F141" s="7">
        <v>0.14285714285714285</v>
      </c>
      <c r="G141" s="8" t="s">
        <v>9</v>
      </c>
      <c r="H141" s="8" t="s">
        <v>10</v>
      </c>
      <c r="I141" s="8" t="s">
        <v>11</v>
      </c>
    </row>
    <row r="142" spans="1:9" x14ac:dyDescent="0.3">
      <c r="A142" s="4" t="str">
        <v>DOM201</v>
      </c>
      <c r="B142" s="4" t="str">
        <f>_xlfn.XLOOKUP(A142,[1]!Tabla2[dispositivo],[1]!Tabla2[ubicación],"REVISAR")</f>
        <v>San Juan Y Juan Jose Paso</v>
      </c>
      <c r="C142" s="5">
        <v>1</v>
      </c>
      <c r="D142" s="6">
        <v>0.14285714285714285</v>
      </c>
      <c r="E142" s="5">
        <v>1</v>
      </c>
      <c r="F142" s="7">
        <v>0.14285714285714285</v>
      </c>
      <c r="G142" s="8" t="s">
        <v>9</v>
      </c>
      <c r="H142" s="8" t="s">
        <v>10</v>
      </c>
      <c r="I142" s="8" t="s">
        <v>11</v>
      </c>
    </row>
    <row r="143" spans="1:9" x14ac:dyDescent="0.3">
      <c r="A143" s="4" t="str">
        <v>DOM202</v>
      </c>
      <c r="B143" s="4" t="str">
        <f>_xlfn.XLOOKUP(A143,[1]!Tabla2[dispositivo],[1]!Tabla2[ubicación],"REVISAR")</f>
        <v>Santiago Y Av. Ejercito Del Norte</v>
      </c>
      <c r="C143" s="5">
        <v>1</v>
      </c>
      <c r="D143" s="6">
        <v>0.14285714285714285</v>
      </c>
      <c r="E143" s="5">
        <v>1</v>
      </c>
      <c r="F143" s="7">
        <v>0.14285714285714285</v>
      </c>
      <c r="G143" s="8" t="s">
        <v>9</v>
      </c>
      <c r="H143" s="8" t="s">
        <v>10</v>
      </c>
      <c r="I143" s="8" t="s">
        <v>11</v>
      </c>
    </row>
    <row r="144" spans="1:9" x14ac:dyDescent="0.3">
      <c r="A144" s="4" t="str">
        <v>DOM203</v>
      </c>
      <c r="B144" s="4" t="str">
        <f>_xlfn.XLOOKUP(A144,[1]!Tabla2[dispositivo],[1]!Tabla2[ubicación],"REVISAR")</f>
        <v>Av. Ejercito Del Norte Y Corrientes</v>
      </c>
      <c r="C144" s="5">
        <v>2</v>
      </c>
      <c r="D144" s="6">
        <v>0.2857142857142857</v>
      </c>
      <c r="E144" s="5">
        <v>2</v>
      </c>
      <c r="F144" s="7">
        <v>0.2857142857142857</v>
      </c>
      <c r="G144" s="8" t="s">
        <v>9</v>
      </c>
      <c r="H144" s="8" t="s">
        <v>10</v>
      </c>
      <c r="I144" s="8" t="s">
        <v>11</v>
      </c>
    </row>
    <row r="145" spans="1:9" x14ac:dyDescent="0.3">
      <c r="A145" s="4" t="str">
        <v>DOM204</v>
      </c>
      <c r="B145" s="4" t="str">
        <f>_xlfn.XLOOKUP(A145,[1]!Tabla2[dispositivo],[1]!Tabla2[ubicación],"REVISAR")</f>
        <v>Av. Ejercito Del Norte  Y Marcos Paz</v>
      </c>
      <c r="C145" s="5">
        <v>1</v>
      </c>
      <c r="D145" s="6">
        <v>0.14285714285714285</v>
      </c>
      <c r="E145" s="5">
        <v>1</v>
      </c>
      <c r="F145" s="7">
        <v>0.14285714285714285</v>
      </c>
      <c r="G145" s="8" t="s">
        <v>9</v>
      </c>
      <c r="H145" s="8" t="s">
        <v>10</v>
      </c>
      <c r="I145" s="8" t="s">
        <v>11</v>
      </c>
    </row>
    <row r="146" spans="1:9" x14ac:dyDescent="0.3">
      <c r="A146" s="4" t="str">
        <v>DOM205</v>
      </c>
      <c r="B146" s="4" t="str">
        <f>_xlfn.XLOOKUP(A146,[1]!Tabla2[dispositivo],[1]!Tabla2[ubicación],"REVISAR")</f>
        <v>Av. Ejercito Del Norte Y Santa Fe</v>
      </c>
      <c r="C146" s="5">
        <v>1</v>
      </c>
      <c r="D146" s="6">
        <v>0.14285714285714285</v>
      </c>
      <c r="E146" s="5">
        <v>1</v>
      </c>
      <c r="F146" s="7">
        <v>0.14285714285714285</v>
      </c>
      <c r="G146" s="8" t="s">
        <v>9</v>
      </c>
      <c r="H146" s="8" t="s">
        <v>10</v>
      </c>
      <c r="I146" s="8" t="s">
        <v>11</v>
      </c>
    </row>
    <row r="147" spans="1:9" x14ac:dyDescent="0.3">
      <c r="A147" s="4" t="str">
        <v>DOM206</v>
      </c>
      <c r="B147" s="4" t="str">
        <f>_xlfn.XLOOKUP(A147,[1]!Tabla2[dispositivo],[1]!Tabla2[ubicación],"REVISAR")</f>
        <v>Av. Manuel Belgrano Y Av. Ejercito Del Norte</v>
      </c>
      <c r="C147" s="5">
        <v>4</v>
      </c>
      <c r="D147" s="6">
        <v>0.5714285714285714</v>
      </c>
      <c r="E147" s="5">
        <v>2</v>
      </c>
      <c r="F147" s="7">
        <v>0.2857142857142857</v>
      </c>
      <c r="G147" s="8" t="s">
        <v>12</v>
      </c>
      <c r="H147" s="8" t="s">
        <v>13</v>
      </c>
      <c r="I147" s="8" t="s">
        <v>11</v>
      </c>
    </row>
    <row r="148" spans="1:9" x14ac:dyDescent="0.3">
      <c r="A148" s="4" t="str">
        <v>DOM207</v>
      </c>
      <c r="B148" s="4" t="str">
        <f>_xlfn.XLOOKUP(A148,[1]!Tabla2[dispositivo],[1]!Tabla2[ubicación],"REVISAR")</f>
        <v>Av. Manuel Belgrano Y Juan Jose Paso</v>
      </c>
      <c r="C148" s="5">
        <v>2</v>
      </c>
      <c r="D148" s="6">
        <v>0.2857142857142857</v>
      </c>
      <c r="E148" s="5">
        <v>2</v>
      </c>
      <c r="F148" s="7">
        <v>0.2857142857142857</v>
      </c>
      <c r="G148" s="8" t="s">
        <v>9</v>
      </c>
      <c r="H148" s="8" t="s">
        <v>10</v>
      </c>
      <c r="I148" s="8" t="s">
        <v>11</v>
      </c>
    </row>
    <row r="149" spans="1:9" x14ac:dyDescent="0.3">
      <c r="A149" s="4" t="str">
        <v>DOM209</v>
      </c>
      <c r="B149" s="4" t="str">
        <f>_xlfn.XLOOKUP(A149,[1]!Tabla2[dispositivo],[1]!Tabla2[ubicación],"REVISAR")</f>
        <v>Av. Manuel Belgrano Y Manuel Alberti</v>
      </c>
      <c r="C149" s="5">
        <v>1</v>
      </c>
      <c r="D149" s="6">
        <v>0.14285714285714285</v>
      </c>
      <c r="E149" s="5">
        <v>1</v>
      </c>
      <c r="F149" s="7">
        <v>0.14285714285714285</v>
      </c>
      <c r="G149" s="8" t="s">
        <v>9</v>
      </c>
      <c r="H149" s="8" t="s">
        <v>10</v>
      </c>
      <c r="I149" s="8" t="s">
        <v>11</v>
      </c>
    </row>
    <row r="150" spans="1:9" x14ac:dyDescent="0.3">
      <c r="A150" s="4" t="str">
        <v>DOM211</v>
      </c>
      <c r="B150" s="4" t="str">
        <f>_xlfn.XLOOKUP(A150,[1]!Tabla2[dispositivo],[1]!Tabla2[ubicación],"REVISAR")</f>
        <v>Santa Fe Y San Miguel</v>
      </c>
      <c r="C150" s="5">
        <v>1</v>
      </c>
      <c r="D150" s="6">
        <v>0.14285714285714285</v>
      </c>
      <c r="E150" s="5">
        <v>1</v>
      </c>
      <c r="F150" s="7">
        <v>0.14285714285714285</v>
      </c>
      <c r="G150" s="8" t="s">
        <v>9</v>
      </c>
      <c r="H150" s="8" t="s">
        <v>10</v>
      </c>
      <c r="I150" s="8" t="s">
        <v>11</v>
      </c>
    </row>
    <row r="151" spans="1:9" x14ac:dyDescent="0.3">
      <c r="A151" s="4" t="str">
        <v>DOM214</v>
      </c>
      <c r="B151" s="4" t="str">
        <f>_xlfn.XLOOKUP(A151,[1]!Tabla2[dispositivo],[1]!Tabla2[ubicación],"REVISAR")</f>
        <v>Av. Manuel Belgrano Y 12 De Octubre</v>
      </c>
      <c r="C151" s="5">
        <v>3</v>
      </c>
      <c r="D151" s="6">
        <v>0.42857142857142855</v>
      </c>
      <c r="E151" s="5">
        <v>2</v>
      </c>
      <c r="F151" s="7">
        <v>0.2857142857142857</v>
      </c>
      <c r="G151" s="8" t="s">
        <v>14</v>
      </c>
      <c r="H151" s="8" t="s">
        <v>15</v>
      </c>
      <c r="I151" s="8" t="s">
        <v>11</v>
      </c>
    </row>
    <row r="152" spans="1:9" x14ac:dyDescent="0.3">
      <c r="A152" s="4" t="str">
        <v>DOM215</v>
      </c>
      <c r="B152" s="4" t="str">
        <f>_xlfn.XLOOKUP(A152,[1]!Tabla2[dispositivo],[1]!Tabla2[ubicación],"REVISAR")</f>
        <v>Lucas Cordoba Y Mendoza</v>
      </c>
      <c r="C152" s="5">
        <v>1</v>
      </c>
      <c r="D152" s="6">
        <v>0.14285714285714285</v>
      </c>
      <c r="E152" s="5">
        <v>1</v>
      </c>
      <c r="F152" s="7">
        <v>0.14285714285714285</v>
      </c>
      <c r="G152" s="8" t="s">
        <v>9</v>
      </c>
      <c r="H152" s="8" t="s">
        <v>10</v>
      </c>
      <c r="I152" s="8" t="s">
        <v>11</v>
      </c>
    </row>
    <row r="153" spans="1:9" x14ac:dyDescent="0.3">
      <c r="A153" s="4" t="str">
        <v>DOM217</v>
      </c>
      <c r="B153" s="4" t="str">
        <f>_xlfn.XLOOKUP(A153,[1]!Tabla2[dispositivo],[1]!Tabla2[ubicación],"REVISAR")</f>
        <v>Carlos Pellegrini Y Av. Mate De Luna</v>
      </c>
      <c r="C153" s="5">
        <v>1</v>
      </c>
      <c r="D153" s="6">
        <v>0.14285714285714285</v>
      </c>
      <c r="E153" s="5">
        <v>1</v>
      </c>
      <c r="F153" s="7">
        <v>0.14285714285714285</v>
      </c>
      <c r="G153" s="8" t="s">
        <v>9</v>
      </c>
      <c r="H153" s="8" t="s">
        <v>10</v>
      </c>
      <c r="I153" s="8" t="s">
        <v>11</v>
      </c>
    </row>
    <row r="154" spans="1:9" x14ac:dyDescent="0.3">
      <c r="A154" s="4" t="str">
        <v>DOM218</v>
      </c>
      <c r="B154" s="4" t="str">
        <f>_xlfn.XLOOKUP(A154,[1]!Tabla2[dispositivo],[1]!Tabla2[ubicación],"REVISAR")</f>
        <v>Av. Mate De Luna Y Frias Silva</v>
      </c>
      <c r="C154" s="5">
        <v>3</v>
      </c>
      <c r="D154" s="6">
        <v>0.42857142857142855</v>
      </c>
      <c r="E154" s="5">
        <v>2</v>
      </c>
      <c r="F154" s="7">
        <v>0.2857142857142857</v>
      </c>
      <c r="G154" s="8" t="s">
        <v>14</v>
      </c>
      <c r="H154" s="8" t="s">
        <v>15</v>
      </c>
      <c r="I154" s="8" t="s">
        <v>11</v>
      </c>
    </row>
    <row r="155" spans="1:9" x14ac:dyDescent="0.3">
      <c r="A155" s="4" t="str">
        <v>DOM219</v>
      </c>
      <c r="B155" s="4" t="str">
        <f>_xlfn.XLOOKUP(A155,[1]!Tabla2[dispositivo],[1]!Tabla2[ubicación],"REVISAR")</f>
        <v>Av. Mate De Luna Y Libertad</v>
      </c>
      <c r="C155" s="5">
        <v>1</v>
      </c>
      <c r="D155" s="6">
        <v>0.14285714285714285</v>
      </c>
      <c r="E155" s="5">
        <v>1</v>
      </c>
      <c r="F155" s="7">
        <v>0.14285714285714285</v>
      </c>
      <c r="G155" s="8" t="s">
        <v>9</v>
      </c>
      <c r="H155" s="8" t="s">
        <v>10</v>
      </c>
      <c r="I155" s="8" t="s">
        <v>11</v>
      </c>
    </row>
    <row r="156" spans="1:9" x14ac:dyDescent="0.3">
      <c r="A156" s="4" t="str">
        <v>DOM225</v>
      </c>
      <c r="B156" s="4" t="str">
        <f>_xlfn.XLOOKUP(A156,[1]!Tabla2[dispositivo],[1]!Tabla2[ubicación],"REVISAR")</f>
        <v>Av. Alem Y Crisostomo</v>
      </c>
      <c r="C156" s="5">
        <v>3</v>
      </c>
      <c r="D156" s="6">
        <v>0.42857142857142855</v>
      </c>
      <c r="E156" s="5">
        <v>2</v>
      </c>
      <c r="F156" s="7">
        <v>0.2857142857142857</v>
      </c>
      <c r="G156" s="8" t="s">
        <v>14</v>
      </c>
      <c r="H156" s="8" t="s">
        <v>15</v>
      </c>
      <c r="I156" s="8" t="s">
        <v>11</v>
      </c>
    </row>
    <row r="157" spans="1:9" x14ac:dyDescent="0.3">
      <c r="A157" s="4" t="str">
        <v>DOM230</v>
      </c>
      <c r="B157" s="4" t="str">
        <f>_xlfn.XLOOKUP(A157,[1]!Tabla2[dispositivo],[1]!Tabla2[ubicación],"REVISAR")</f>
        <v>Av. Colon Y Av. Roca</v>
      </c>
      <c r="C157" s="5">
        <v>4</v>
      </c>
      <c r="D157" s="6">
        <v>0.5714285714285714</v>
      </c>
      <c r="E157" s="5">
        <v>2</v>
      </c>
      <c r="F157" s="7">
        <v>0.2857142857142857</v>
      </c>
      <c r="G157" s="8" t="s">
        <v>12</v>
      </c>
      <c r="H157" s="8" t="s">
        <v>13</v>
      </c>
      <c r="I157" s="8" t="s">
        <v>11</v>
      </c>
    </row>
    <row r="158" spans="1:9" x14ac:dyDescent="0.3">
      <c r="A158" s="4" t="str">
        <v>DOM232</v>
      </c>
      <c r="B158" s="4" t="str">
        <f>_xlfn.XLOOKUP(A158,[1]!Tabla2[dispositivo],[1]!Tabla2[ubicación],"REVISAR")</f>
        <v>Av. Colon Y La Plata</v>
      </c>
      <c r="C158" s="5">
        <v>2</v>
      </c>
      <c r="D158" s="6">
        <v>0.2857142857142857</v>
      </c>
      <c r="E158" s="5">
        <v>2</v>
      </c>
      <c r="F158" s="7">
        <v>0.2857142857142857</v>
      </c>
      <c r="G158" s="8" t="s">
        <v>9</v>
      </c>
      <c r="H158" s="8" t="s">
        <v>10</v>
      </c>
      <c r="I158" s="8" t="s">
        <v>11</v>
      </c>
    </row>
    <row r="159" spans="1:9" x14ac:dyDescent="0.3">
      <c r="A159" s="4" t="str">
        <v>DOM233</v>
      </c>
      <c r="B159" s="4" t="str">
        <f>_xlfn.XLOOKUP(A159,[1]!Tabla2[dispositivo],[1]!Tabla2[ubicación],"REVISAR")</f>
        <v>Av. Colon Y Florida</v>
      </c>
      <c r="C159" s="5">
        <v>2</v>
      </c>
      <c r="D159" s="6">
        <v>0.2857142857142857</v>
      </c>
      <c r="E159" s="5">
        <v>2</v>
      </c>
      <c r="F159" s="7">
        <v>0.2857142857142857</v>
      </c>
      <c r="G159" s="8" t="s">
        <v>9</v>
      </c>
      <c r="H159" s="8" t="s">
        <v>10</v>
      </c>
      <c r="I159" s="8" t="s">
        <v>11</v>
      </c>
    </row>
    <row r="160" spans="1:9" x14ac:dyDescent="0.3">
      <c r="A160" s="4" t="str">
        <v>DOM234</v>
      </c>
      <c r="B160" s="4" t="str">
        <f>_xlfn.XLOOKUP(A160,[1]!Tabla2[dispositivo],[1]!Tabla2[ubicación],"REVISAR")</f>
        <v>Av. Colon Y Av. Independencia</v>
      </c>
      <c r="C160" s="5">
        <v>1</v>
      </c>
      <c r="D160" s="6">
        <v>0.14285714285714285</v>
      </c>
      <c r="E160" s="5">
        <v>1</v>
      </c>
      <c r="F160" s="7">
        <v>0.14285714285714285</v>
      </c>
      <c r="G160" s="8" t="s">
        <v>9</v>
      </c>
      <c r="H160" s="8" t="s">
        <v>10</v>
      </c>
      <c r="I160" s="8" t="s">
        <v>11</v>
      </c>
    </row>
    <row r="161" spans="1:9" x14ac:dyDescent="0.3">
      <c r="A161" s="4" t="str">
        <v>DOM235</v>
      </c>
      <c r="B161" s="4" t="str">
        <f>_xlfn.XLOOKUP(A161,[1]!Tabla2[dispositivo],[1]!Tabla2[ubicación],"REVISAR")</f>
        <v>Av. Colon Y Bolivar</v>
      </c>
      <c r="C161" s="5">
        <v>2</v>
      </c>
      <c r="D161" s="6">
        <v>0.2857142857142857</v>
      </c>
      <c r="E161" s="5">
        <v>2</v>
      </c>
      <c r="F161" s="7">
        <v>0.2857142857142857</v>
      </c>
      <c r="G161" s="8" t="s">
        <v>9</v>
      </c>
      <c r="H161" s="8" t="s">
        <v>10</v>
      </c>
      <c r="I161" s="8" t="s">
        <v>11</v>
      </c>
    </row>
    <row r="162" spans="1:9" x14ac:dyDescent="0.3">
      <c r="A162" s="4" t="str">
        <v>DOM236</v>
      </c>
      <c r="B162" s="4" t="str">
        <f>_xlfn.XLOOKUP(A162,[1]!Tabla2[dispositivo],[1]!Tabla2[ubicación],"REVISAR")</f>
        <v>Av. Independencia Y Amador Lucero</v>
      </c>
      <c r="C162" s="5">
        <v>1</v>
      </c>
      <c r="D162" s="6">
        <v>0.14285714285714285</v>
      </c>
      <c r="E162" s="5">
        <v>1</v>
      </c>
      <c r="F162" s="7">
        <v>0.14285714285714285</v>
      </c>
      <c r="G162" s="8" t="s">
        <v>9</v>
      </c>
      <c r="H162" s="8" t="s">
        <v>10</v>
      </c>
      <c r="I162" s="8" t="s">
        <v>11</v>
      </c>
    </row>
    <row r="163" spans="1:9" x14ac:dyDescent="0.3">
      <c r="A163" s="4" t="str">
        <v>DOM237</v>
      </c>
      <c r="B163" s="4" t="str">
        <f>_xlfn.XLOOKUP(A163,[1]!Tabla2[dispositivo],[1]!Tabla2[ubicación],"REVISAR")</f>
        <v>Av. Independencia Y B. Matienzo</v>
      </c>
      <c r="C163" s="5">
        <v>1</v>
      </c>
      <c r="D163" s="6">
        <v>0.14285714285714285</v>
      </c>
      <c r="E163" s="5">
        <v>1</v>
      </c>
      <c r="F163" s="7">
        <v>0.14285714285714285</v>
      </c>
      <c r="G163" s="8" t="s">
        <v>9</v>
      </c>
      <c r="H163" s="8" t="s">
        <v>10</v>
      </c>
      <c r="I163" s="8" t="s">
        <v>11</v>
      </c>
    </row>
    <row r="164" spans="1:9" x14ac:dyDescent="0.3">
      <c r="A164" s="4" t="str">
        <v>DOM241</v>
      </c>
      <c r="B164" s="4" t="str">
        <f>_xlfn.XLOOKUP(A164,[1]!Tabla2[dispositivo],[1]!Tabla2[ubicación],"REVISAR")</f>
        <v>Av. Independencia Y Prospero Mena</v>
      </c>
      <c r="C164" s="5">
        <v>1</v>
      </c>
      <c r="D164" s="6">
        <v>0.14285714285714285</v>
      </c>
      <c r="E164" s="5">
        <v>1</v>
      </c>
      <c r="F164" s="7">
        <v>0.14285714285714285</v>
      </c>
      <c r="G164" s="8" t="s">
        <v>9</v>
      </c>
      <c r="H164" s="8" t="s">
        <v>10</v>
      </c>
      <c r="I164" s="8" t="s">
        <v>11</v>
      </c>
    </row>
    <row r="165" spans="1:9" x14ac:dyDescent="0.3">
      <c r="A165" s="4" t="str">
        <v>DOM242</v>
      </c>
      <c r="B165" s="4" t="str">
        <f>_xlfn.XLOOKUP(A165,[1]!Tabla2[dispositivo],[1]!Tabla2[ubicación],"REVISAR")</f>
        <v>Av. Independencia Y Pje. O'higgins</v>
      </c>
      <c r="C165" s="5">
        <v>1</v>
      </c>
      <c r="D165" s="6">
        <v>0.14285714285714285</v>
      </c>
      <c r="E165" s="5">
        <v>1</v>
      </c>
      <c r="F165" s="7">
        <v>0.14285714285714285</v>
      </c>
      <c r="G165" s="8" t="s">
        <v>9</v>
      </c>
      <c r="H165" s="8" t="s">
        <v>10</v>
      </c>
      <c r="I165" s="8" t="s">
        <v>11</v>
      </c>
    </row>
    <row r="166" spans="1:9" x14ac:dyDescent="0.3">
      <c r="A166" s="4" t="str">
        <v>DOM246</v>
      </c>
      <c r="B166" s="4" t="str">
        <f>_xlfn.XLOOKUP(A166,[1]!Tabla2[dispositivo],[1]!Tabla2[ubicación],"REVISAR")</f>
        <v>Av. Alem Y La Plata</v>
      </c>
      <c r="C166" s="5">
        <v>1</v>
      </c>
      <c r="D166" s="6">
        <v>0.14285714285714285</v>
      </c>
      <c r="E166" s="5">
        <v>1</v>
      </c>
      <c r="F166" s="7">
        <v>0.14285714285714285</v>
      </c>
      <c r="G166" s="8" t="s">
        <v>9</v>
      </c>
      <c r="H166" s="8" t="s">
        <v>10</v>
      </c>
      <c r="I166" s="8" t="s">
        <v>11</v>
      </c>
    </row>
    <row r="167" spans="1:9" x14ac:dyDescent="0.3">
      <c r="A167" s="4" t="str">
        <v>DOM248</v>
      </c>
      <c r="B167" s="4" t="str">
        <f>_xlfn.XLOOKUP(A167,[1]!Tabla2[dispositivo],[1]!Tabla2[ubicación],"REVISAR")</f>
        <v>Av. Roca Y San Luis</v>
      </c>
      <c r="C167" s="5">
        <v>3</v>
      </c>
      <c r="D167" s="6">
        <v>0.42857142857142855</v>
      </c>
      <c r="E167" s="5">
        <v>2</v>
      </c>
      <c r="F167" s="7">
        <v>0.2857142857142857</v>
      </c>
      <c r="G167" s="8" t="s">
        <v>14</v>
      </c>
      <c r="H167" s="8" t="s">
        <v>15</v>
      </c>
      <c r="I167" s="8" t="s">
        <v>11</v>
      </c>
    </row>
    <row r="168" spans="1:9" x14ac:dyDescent="0.3">
      <c r="A168" s="4" t="str">
        <v>DOM249</v>
      </c>
      <c r="B168" s="4" t="str">
        <f>_xlfn.XLOOKUP(A168,[1]!Tabla2[dispositivo],[1]!Tabla2[ubicación],"REVISAR")</f>
        <v>Av. Roca Y Alberdi</v>
      </c>
      <c r="C168" s="5">
        <v>2</v>
      </c>
      <c r="D168" s="6">
        <v>0.2857142857142857</v>
      </c>
      <c r="E168" s="5">
        <v>2</v>
      </c>
      <c r="F168" s="7">
        <v>0.2857142857142857</v>
      </c>
      <c r="G168" s="8" t="s">
        <v>9</v>
      </c>
      <c r="H168" s="8" t="s">
        <v>10</v>
      </c>
      <c r="I168" s="8" t="s">
        <v>11</v>
      </c>
    </row>
    <row r="169" spans="1:9" x14ac:dyDescent="0.3">
      <c r="A169" s="4" t="str">
        <v>DOM250</v>
      </c>
      <c r="B169" s="4" t="str">
        <f>_xlfn.XLOOKUP(A169,[1]!Tabla2[dispositivo],[1]!Tabla2[ubicación],"REVISAR")</f>
        <v>Av. Roca Y La Rioja</v>
      </c>
      <c r="C169" s="5">
        <v>1</v>
      </c>
      <c r="D169" s="6">
        <v>0.14285714285714285</v>
      </c>
      <c r="E169" s="5">
        <v>1</v>
      </c>
      <c r="F169" s="7">
        <v>0.14285714285714285</v>
      </c>
      <c r="G169" s="8" t="s">
        <v>9</v>
      </c>
      <c r="H169" s="8" t="s">
        <v>10</v>
      </c>
      <c r="I169" s="8" t="s">
        <v>11</v>
      </c>
    </row>
    <row r="170" spans="1:9" x14ac:dyDescent="0.3">
      <c r="A170" s="4" t="str">
        <v>DOM251</v>
      </c>
      <c r="B170" s="4" t="str">
        <f>_xlfn.XLOOKUP(A170,[1]!Tabla2[dispositivo],[1]!Tabla2[ubicación],"REVISAR")</f>
        <v>Av. Roca Y Jujuy</v>
      </c>
      <c r="C170" s="5">
        <v>2</v>
      </c>
      <c r="D170" s="6">
        <v>0.2857142857142857</v>
      </c>
      <c r="E170" s="5">
        <v>2</v>
      </c>
      <c r="F170" s="7">
        <v>0.2857142857142857</v>
      </c>
      <c r="G170" s="8" t="s">
        <v>9</v>
      </c>
      <c r="H170" s="8" t="s">
        <v>10</v>
      </c>
      <c r="I170" s="8" t="s">
        <v>11</v>
      </c>
    </row>
    <row r="171" spans="1:9" x14ac:dyDescent="0.3">
      <c r="A171" s="4" t="str">
        <v>DOM252</v>
      </c>
      <c r="B171" s="4" t="str">
        <f>_xlfn.XLOOKUP(A171,[1]!Tabla2[dispositivo],[1]!Tabla2[ubicación],"REVISAR")</f>
        <v>Rondeau Y Bernabe Araoz</v>
      </c>
      <c r="C171" s="5">
        <v>7</v>
      </c>
      <c r="D171" s="6">
        <v>1</v>
      </c>
      <c r="E171" s="5">
        <v>5</v>
      </c>
      <c r="F171" s="7">
        <v>0.7142857142857143</v>
      </c>
      <c r="G171" s="8" t="s">
        <v>16</v>
      </c>
      <c r="H171" s="8" t="s">
        <v>17</v>
      </c>
      <c r="I171" s="8" t="s">
        <v>18</v>
      </c>
    </row>
    <row r="172" spans="1:9" x14ac:dyDescent="0.3">
      <c r="A172" s="4" t="str">
        <v>DOM253</v>
      </c>
      <c r="B172" s="4" t="str">
        <f>_xlfn.XLOOKUP(A172,[1]!Tabla2[dispositivo],[1]!Tabla2[ubicación],"REVISAR")</f>
        <v>Rondeau Y Juan B. Alberdi</v>
      </c>
      <c r="C172" s="5">
        <v>2</v>
      </c>
      <c r="D172" s="6">
        <v>0.2857142857142857</v>
      </c>
      <c r="E172" s="5">
        <v>1</v>
      </c>
      <c r="F172" s="7">
        <v>0.14285714285714285</v>
      </c>
      <c r="G172" s="8" t="s">
        <v>9</v>
      </c>
      <c r="H172" s="8" t="s">
        <v>10</v>
      </c>
      <c r="I172" s="8" t="s">
        <v>11</v>
      </c>
    </row>
    <row r="173" spans="1:9" x14ac:dyDescent="0.3">
      <c r="A173" s="4" t="str">
        <v>DOM254</v>
      </c>
      <c r="B173" s="4" t="str">
        <f>_xlfn.XLOOKUP(A173,[1]!Tabla2[dispositivo],[1]!Tabla2[ubicación],"REVISAR")</f>
        <v>Rondeau Y Jujuy</v>
      </c>
      <c r="C173" s="5">
        <v>1</v>
      </c>
      <c r="D173" s="6">
        <v>0.14285714285714285</v>
      </c>
      <c r="E173" s="5">
        <v>1</v>
      </c>
      <c r="F173" s="7">
        <v>0.14285714285714285</v>
      </c>
      <c r="G173" s="8" t="s">
        <v>9</v>
      </c>
      <c r="H173" s="8" t="s">
        <v>10</v>
      </c>
      <c r="I173" s="8" t="s">
        <v>11</v>
      </c>
    </row>
    <row r="174" spans="1:9" x14ac:dyDescent="0.3">
      <c r="A174" s="4" t="str">
        <v>DOM257</v>
      </c>
      <c r="B174" s="4" t="str">
        <f>_xlfn.XLOOKUP(A174,[1]!Tabla2[dispositivo],[1]!Tabla2[ubicación],"REVISAR")</f>
        <v>Bolivar Y Alberdi</v>
      </c>
      <c r="C174" s="5">
        <v>1</v>
      </c>
      <c r="D174" s="6">
        <v>0.14285714285714285</v>
      </c>
      <c r="E174" s="5">
        <v>1</v>
      </c>
      <c r="F174" s="7">
        <v>0.14285714285714285</v>
      </c>
      <c r="G174" s="8" t="s">
        <v>9</v>
      </c>
      <c r="H174" s="8" t="s">
        <v>10</v>
      </c>
      <c r="I174" s="8" t="s">
        <v>11</v>
      </c>
    </row>
    <row r="175" spans="1:9" x14ac:dyDescent="0.3">
      <c r="A175" s="4" t="str">
        <v>DOM262</v>
      </c>
      <c r="B175" s="4" t="str">
        <f>_xlfn.XLOOKUP(A175,[1]!Tabla2[dispositivo],[1]!Tabla2[ubicación],"REVISAR")</f>
        <v>Av. Roca Y Buenos Aires</v>
      </c>
      <c r="C175" s="5">
        <v>5</v>
      </c>
      <c r="D175" s="6">
        <v>0.7142857142857143</v>
      </c>
      <c r="E175" s="5">
        <v>4</v>
      </c>
      <c r="F175" s="7">
        <v>0.5714285714285714</v>
      </c>
      <c r="G175" s="8" t="s">
        <v>16</v>
      </c>
      <c r="H175" s="8" t="s">
        <v>17</v>
      </c>
      <c r="I175" s="8" t="s">
        <v>18</v>
      </c>
    </row>
    <row r="176" spans="1:9" x14ac:dyDescent="0.3">
      <c r="A176" s="4" t="str">
        <v>DOM263</v>
      </c>
      <c r="B176" s="4" t="str">
        <f>_xlfn.XLOOKUP(A176,[1]!Tabla2[dispositivo],[1]!Tabla2[ubicación],"REVISAR")</f>
        <v>Rondeau Y Buenos Aires</v>
      </c>
      <c r="C176" s="5">
        <v>3</v>
      </c>
      <c r="D176" s="6">
        <v>0.42857142857142855</v>
      </c>
      <c r="E176" s="5">
        <v>3</v>
      </c>
      <c r="F176" s="7">
        <v>0.42857142857142855</v>
      </c>
      <c r="G176" s="8" t="s">
        <v>14</v>
      </c>
      <c r="H176" s="8" t="s">
        <v>15</v>
      </c>
      <c r="I176" s="8" t="s">
        <v>11</v>
      </c>
    </row>
    <row r="177" spans="1:9" x14ac:dyDescent="0.3">
      <c r="A177" s="4" t="str">
        <v>DOM265</v>
      </c>
      <c r="B177" s="4" t="str">
        <f>_xlfn.XLOOKUP(A177,[1]!Tabla2[dispositivo],[1]!Tabla2[ubicación],"REVISAR")</f>
        <v>Av. Roca Y Congreso</v>
      </c>
      <c r="C177" s="5">
        <v>2</v>
      </c>
      <c r="D177" s="6">
        <v>0.2857142857142857</v>
      </c>
      <c r="E177" s="5">
        <v>2</v>
      </c>
      <c r="F177" s="7">
        <v>0.2857142857142857</v>
      </c>
      <c r="G177" s="8" t="s">
        <v>9</v>
      </c>
      <c r="H177" s="8" t="s">
        <v>10</v>
      </c>
      <c r="I177" s="8" t="s">
        <v>11</v>
      </c>
    </row>
    <row r="178" spans="1:9" x14ac:dyDescent="0.3">
      <c r="A178" s="4" t="str">
        <v>DOM266</v>
      </c>
      <c r="B178" s="4" t="str">
        <f>_xlfn.XLOOKUP(A178,[1]!Tabla2[dispositivo],[1]!Tabla2[ubicación],"REVISAR")</f>
        <v>Alsina Y Congreso</v>
      </c>
      <c r="C178" s="5">
        <v>1</v>
      </c>
      <c r="D178" s="6">
        <v>0.14285714285714285</v>
      </c>
      <c r="E178" s="5">
        <v>1</v>
      </c>
      <c r="F178" s="7">
        <v>0.14285714285714285</v>
      </c>
      <c r="G178" s="8" t="s">
        <v>9</v>
      </c>
      <c r="H178" s="8" t="s">
        <v>10</v>
      </c>
      <c r="I178" s="8" t="s">
        <v>11</v>
      </c>
    </row>
    <row r="179" spans="1:9" x14ac:dyDescent="0.3">
      <c r="A179" s="4" t="str">
        <v>DOM267</v>
      </c>
      <c r="B179" s="4" t="str">
        <f>_xlfn.XLOOKUP(A179,[1]!Tabla2[dispositivo],[1]!Tabla2[ubicación],"REVISAR")</f>
        <v>Av. Roca Y Entre Rios</v>
      </c>
      <c r="C179" s="5">
        <v>3</v>
      </c>
      <c r="D179" s="6">
        <v>0.42857142857142855</v>
      </c>
      <c r="E179" s="5">
        <v>2</v>
      </c>
      <c r="F179" s="7">
        <v>0.2857142857142857</v>
      </c>
      <c r="G179" s="8" t="s">
        <v>14</v>
      </c>
      <c r="H179" s="8" t="s">
        <v>15</v>
      </c>
      <c r="I179" s="8" t="s">
        <v>11</v>
      </c>
    </row>
    <row r="180" spans="1:9" x14ac:dyDescent="0.3">
      <c r="A180" s="4" t="str">
        <v>DOM268</v>
      </c>
      <c r="B180" s="4" t="str">
        <f>_xlfn.XLOOKUP(A180,[1]!Tabla2[dispositivo],[1]!Tabla2[ubicación],"REVISAR")</f>
        <v>Av. Roca Y Moreno</v>
      </c>
      <c r="C180" s="5">
        <v>2</v>
      </c>
      <c r="D180" s="6">
        <v>0.2857142857142857</v>
      </c>
      <c r="E180" s="5">
        <v>1</v>
      </c>
      <c r="F180" s="7">
        <v>0.14285714285714285</v>
      </c>
      <c r="G180" s="8" t="s">
        <v>9</v>
      </c>
      <c r="H180" s="8" t="s">
        <v>10</v>
      </c>
      <c r="I180" s="8" t="s">
        <v>11</v>
      </c>
    </row>
    <row r="181" spans="1:9" x14ac:dyDescent="0.3">
      <c r="A181" s="4" t="str">
        <v>DOM269</v>
      </c>
      <c r="B181" s="4" t="str">
        <f>_xlfn.XLOOKUP(A181,[1]!Tabla2[dispositivo],[1]!Tabla2[ubicación],"REVISAR")</f>
        <v>Entre Rios Y Alsina</v>
      </c>
      <c r="C181" s="5">
        <v>1</v>
      </c>
      <c r="D181" s="6">
        <v>0.14285714285714285</v>
      </c>
      <c r="E181" s="5">
        <v>1</v>
      </c>
      <c r="F181" s="7">
        <v>0.14285714285714285</v>
      </c>
      <c r="G181" s="8" t="s">
        <v>9</v>
      </c>
      <c r="H181" s="8" t="s">
        <v>10</v>
      </c>
      <c r="I181" s="8" t="s">
        <v>11</v>
      </c>
    </row>
    <row r="182" spans="1:9" x14ac:dyDescent="0.3">
      <c r="A182" s="4" t="str">
        <v>DOM271</v>
      </c>
      <c r="B182" s="4" t="str">
        <f>_xlfn.XLOOKUP(A182,[1]!Tabla2[dispositivo],[1]!Tabla2[ubicación],"REVISAR")</f>
        <v>Rondeau Y Las Heras</v>
      </c>
      <c r="C182" s="5">
        <v>2</v>
      </c>
      <c r="D182" s="6">
        <v>0.2857142857142857</v>
      </c>
      <c r="E182" s="5">
        <v>1</v>
      </c>
      <c r="F182" s="7">
        <v>0.14285714285714285</v>
      </c>
      <c r="G182" s="8" t="s">
        <v>9</v>
      </c>
      <c r="H182" s="8" t="s">
        <v>10</v>
      </c>
      <c r="I182" s="8" t="s">
        <v>11</v>
      </c>
    </row>
    <row r="183" spans="1:9" x14ac:dyDescent="0.3">
      <c r="A183" s="4" t="str">
        <v>DOM272</v>
      </c>
      <c r="B183" s="4" t="str">
        <f>_xlfn.XLOOKUP(A183,[1]!Tabla2[dispositivo],[1]!Tabla2[ubicación],"REVISAR")</f>
        <v>Entre Rios Y Bolivar</v>
      </c>
      <c r="C183" s="5">
        <v>4</v>
      </c>
      <c r="D183" s="6">
        <v>0.5714285714285714</v>
      </c>
      <c r="E183" s="5">
        <v>4</v>
      </c>
      <c r="F183" s="7">
        <v>0.5714285714285714</v>
      </c>
      <c r="G183" s="8" t="s">
        <v>12</v>
      </c>
      <c r="H183" s="8" t="s">
        <v>13</v>
      </c>
      <c r="I183" s="8" t="s">
        <v>19</v>
      </c>
    </row>
    <row r="184" spans="1:9" x14ac:dyDescent="0.3">
      <c r="A184" s="4" t="str">
        <v>DOM273</v>
      </c>
      <c r="B184" s="4" t="str">
        <f>_xlfn.XLOOKUP(A184,[1]!Tabla2[dispositivo],[1]!Tabla2[ubicación],"REVISAR")</f>
        <v>Rondeau Y Moreno</v>
      </c>
      <c r="C184" s="5">
        <v>1</v>
      </c>
      <c r="D184" s="6">
        <v>0.14285714285714285</v>
      </c>
      <c r="E184" s="5">
        <v>1</v>
      </c>
      <c r="F184" s="7">
        <v>0.14285714285714285</v>
      </c>
      <c r="G184" s="8" t="s">
        <v>9</v>
      </c>
      <c r="H184" s="8" t="s">
        <v>10</v>
      </c>
      <c r="I184" s="8" t="s">
        <v>11</v>
      </c>
    </row>
    <row r="185" spans="1:9" x14ac:dyDescent="0.3">
      <c r="A185" s="4" t="str">
        <v>DOM275</v>
      </c>
      <c r="B185" s="4" t="str">
        <f>_xlfn.XLOOKUP(A185,[1]!Tabla2[dispositivo],[1]!Tabla2[ubicación],"REVISAR")</f>
        <v>Bernabe Araoz Y Pje. Fray Manuel Perez</v>
      </c>
      <c r="C185" s="5">
        <v>1</v>
      </c>
      <c r="D185" s="6">
        <v>0.14285714285714285</v>
      </c>
      <c r="E185" s="5">
        <v>1</v>
      </c>
      <c r="F185" s="7">
        <v>0.14285714285714285</v>
      </c>
      <c r="G185" s="8" t="s">
        <v>9</v>
      </c>
      <c r="H185" s="8" t="s">
        <v>10</v>
      </c>
      <c r="I185" s="8" t="s">
        <v>11</v>
      </c>
    </row>
    <row r="186" spans="1:9" x14ac:dyDescent="0.3">
      <c r="A186" s="4" t="str">
        <v>DOM276</v>
      </c>
      <c r="B186" s="4" t="str">
        <f>_xlfn.XLOOKUP(A186,[1]!Tabla2[dispositivo],[1]!Tabla2[ubicación],"REVISAR")</f>
        <v>Av. Saenz Peña Y Bolivar</v>
      </c>
      <c r="C186" s="5">
        <v>2</v>
      </c>
      <c r="D186" s="6">
        <v>0.2857142857142857</v>
      </c>
      <c r="E186" s="5">
        <v>2</v>
      </c>
      <c r="F186" s="7">
        <v>0.2857142857142857</v>
      </c>
      <c r="G186" s="8" t="s">
        <v>9</v>
      </c>
      <c r="H186" s="8" t="s">
        <v>10</v>
      </c>
      <c r="I186" s="8" t="s">
        <v>11</v>
      </c>
    </row>
    <row r="187" spans="1:9" x14ac:dyDescent="0.3">
      <c r="A187" s="4" t="str">
        <v>DOM277</v>
      </c>
      <c r="B187" s="4" t="str">
        <f>_xlfn.XLOOKUP(A187,[1]!Tabla2[dispositivo],[1]!Tabla2[ubicación],"REVISAR")</f>
        <v>Prebisch Y Pje. Lopez</v>
      </c>
      <c r="C187" s="5">
        <v>1</v>
      </c>
      <c r="D187" s="6">
        <v>0.14285714285714285</v>
      </c>
      <c r="E187" s="5">
        <v>1</v>
      </c>
      <c r="F187" s="7">
        <v>0.14285714285714285</v>
      </c>
      <c r="G187" s="8" t="s">
        <v>9</v>
      </c>
      <c r="H187" s="8" t="s">
        <v>10</v>
      </c>
      <c r="I187" s="8" t="s">
        <v>11</v>
      </c>
    </row>
    <row r="188" spans="1:9" x14ac:dyDescent="0.3">
      <c r="A188" s="4" t="str">
        <v>DOM278</v>
      </c>
      <c r="B188" s="4" t="str">
        <f>_xlfn.XLOOKUP(A188,[1]!Tabla2[dispositivo],[1]!Tabla2[ubicación],"REVISAR")</f>
        <v>Av. Colon Y Lamadrid</v>
      </c>
      <c r="C188" s="5">
        <v>2</v>
      </c>
      <c r="D188" s="6">
        <v>0.2857142857142857</v>
      </c>
      <c r="E188" s="5">
        <v>2</v>
      </c>
      <c r="F188" s="7">
        <v>0.2857142857142857</v>
      </c>
      <c r="G188" s="8" t="s">
        <v>9</v>
      </c>
      <c r="H188" s="8" t="s">
        <v>10</v>
      </c>
      <c r="I188" s="8" t="s">
        <v>11</v>
      </c>
    </row>
    <row r="189" spans="1:9" x14ac:dyDescent="0.3">
      <c r="A189" s="4" t="str">
        <v>DOM279</v>
      </c>
      <c r="B189" s="4" t="str">
        <f>_xlfn.XLOOKUP(A189,[1]!Tabla2[dispositivo],[1]!Tabla2[ubicación],"REVISAR")</f>
        <v>Av. Araoz Y Av. Brigido Teran</v>
      </c>
      <c r="C189" s="5">
        <v>2</v>
      </c>
      <c r="D189" s="6">
        <v>0.2857142857142857</v>
      </c>
      <c r="E189" s="5">
        <v>2</v>
      </c>
      <c r="F189" s="7">
        <v>0.2857142857142857</v>
      </c>
      <c r="G189" s="8" t="s">
        <v>9</v>
      </c>
      <c r="H189" s="8" t="s">
        <v>10</v>
      </c>
      <c r="I189" s="8" t="s">
        <v>11</v>
      </c>
    </row>
    <row r="190" spans="1:9" x14ac:dyDescent="0.3">
      <c r="A190" s="4" t="str">
        <v>DOM281</v>
      </c>
      <c r="B190" s="4" t="str">
        <f>_xlfn.XLOOKUP(A190,[1]!Tabla2[dispositivo],[1]!Tabla2[ubicación],"REVISAR")</f>
        <v>Av. Brigido Teran Y Rawson</v>
      </c>
      <c r="C190" s="5">
        <v>2</v>
      </c>
      <c r="D190" s="6">
        <v>0.2857142857142857</v>
      </c>
      <c r="E190" s="5">
        <v>2</v>
      </c>
      <c r="F190" s="7">
        <v>0.2857142857142857</v>
      </c>
      <c r="G190" s="8" t="s">
        <v>9</v>
      </c>
      <c r="H190" s="8" t="s">
        <v>10</v>
      </c>
      <c r="I190" s="8" t="s">
        <v>11</v>
      </c>
    </row>
    <row r="191" spans="1:9" x14ac:dyDescent="0.3">
      <c r="A191" s="4" t="str">
        <v>DOM283</v>
      </c>
      <c r="B191" s="4" t="str">
        <f>_xlfn.XLOOKUP(A191,[1]!Tabla2[dispositivo],[1]!Tabla2[ubicación],"REVISAR")</f>
        <v>Moreno Y Lavalle</v>
      </c>
      <c r="C191" s="5">
        <v>1</v>
      </c>
      <c r="D191" s="6">
        <v>0.14285714285714285</v>
      </c>
      <c r="E191" s="5">
        <v>1</v>
      </c>
      <c r="F191" s="7">
        <v>0.14285714285714285</v>
      </c>
      <c r="G191" s="8" t="s">
        <v>9</v>
      </c>
      <c r="H191" s="8" t="s">
        <v>10</v>
      </c>
      <c r="I191" s="8" t="s">
        <v>11</v>
      </c>
    </row>
    <row r="192" spans="1:9" x14ac:dyDescent="0.3">
      <c r="A192" s="4" t="str">
        <v>DOM286</v>
      </c>
      <c r="B192" s="4" t="str">
        <f>_xlfn.XLOOKUP(A192,[1]!Tabla2[dispositivo],[1]!Tabla2[ubicación],"REVISAR")</f>
        <v>J. Ingenieros Y Diaz Velez</v>
      </c>
      <c r="C192" s="5">
        <v>1</v>
      </c>
      <c r="D192" s="6">
        <v>0.14285714285714285</v>
      </c>
      <c r="E192" s="5">
        <v>1</v>
      </c>
      <c r="F192" s="7">
        <v>0.14285714285714285</v>
      </c>
      <c r="G192" s="8" t="s">
        <v>9</v>
      </c>
      <c r="H192" s="8" t="s">
        <v>10</v>
      </c>
      <c r="I192" s="8" t="s">
        <v>11</v>
      </c>
    </row>
    <row r="193" spans="1:9" x14ac:dyDescent="0.3">
      <c r="A193" s="4" t="str">
        <v>DOM287</v>
      </c>
      <c r="B193" s="4" t="str">
        <f>_xlfn.XLOOKUP(A193,[1]!Tabla2[dispositivo],[1]!Tabla2[ubicación],"REVISAR")</f>
        <v>Av. Brigido Teran Y Domingo Garcia</v>
      </c>
      <c r="C193" s="5">
        <v>1</v>
      </c>
      <c r="D193" s="6">
        <v>0.14285714285714285</v>
      </c>
      <c r="E193" s="5">
        <v>1</v>
      </c>
      <c r="F193" s="7">
        <v>0.14285714285714285</v>
      </c>
      <c r="G193" s="8" t="s">
        <v>9</v>
      </c>
      <c r="H193" s="8" t="s">
        <v>10</v>
      </c>
      <c r="I193" s="8" t="s">
        <v>11</v>
      </c>
    </row>
    <row r="194" spans="1:9" x14ac:dyDescent="0.3">
      <c r="A194" s="4" t="str">
        <v>DOM289</v>
      </c>
      <c r="B194" s="4" t="str">
        <f>_xlfn.XLOOKUP(A194,[1]!Tabla2[dispositivo],[1]!Tabla2[ubicación],"REVISAR")</f>
        <v>Av. Brigido Teran Y Charcas</v>
      </c>
      <c r="C194" s="5">
        <v>3</v>
      </c>
      <c r="D194" s="6">
        <v>0.42857142857142855</v>
      </c>
      <c r="E194" s="5">
        <v>3</v>
      </c>
      <c r="F194" s="7">
        <v>0.42857142857142855</v>
      </c>
      <c r="G194" s="8" t="s">
        <v>14</v>
      </c>
      <c r="H194" s="8" t="s">
        <v>15</v>
      </c>
      <c r="I194" s="8" t="s">
        <v>11</v>
      </c>
    </row>
    <row r="195" spans="1:9" x14ac:dyDescent="0.3">
      <c r="A195" s="4" t="str">
        <v>DOM290</v>
      </c>
      <c r="B195" s="4" t="str">
        <f>_xlfn.XLOOKUP(A195,[1]!Tabla2[dispositivo],[1]!Tabla2[ubicación],"REVISAR")</f>
        <v>Charcas Y Sgo. Gomez</v>
      </c>
      <c r="C195" s="5">
        <v>1</v>
      </c>
      <c r="D195" s="6">
        <v>0.14285714285714285</v>
      </c>
      <c r="E195" s="5">
        <v>1</v>
      </c>
      <c r="F195" s="7">
        <v>0.14285714285714285</v>
      </c>
      <c r="G195" s="8" t="s">
        <v>9</v>
      </c>
      <c r="H195" s="8" t="s">
        <v>10</v>
      </c>
      <c r="I195" s="8" t="s">
        <v>11</v>
      </c>
    </row>
    <row r="196" spans="1:9" x14ac:dyDescent="0.3">
      <c r="A196" s="4" t="str">
        <v>DOM291</v>
      </c>
      <c r="B196" s="4" t="str">
        <f>_xlfn.XLOOKUP(A196,[1]!Tabla2[dispositivo],[1]!Tabla2[ubicación],"REVISAR")</f>
        <v>Av. Soldati Y Francia</v>
      </c>
      <c r="C196" s="5">
        <v>4</v>
      </c>
      <c r="D196" s="6">
        <v>0.5714285714285714</v>
      </c>
      <c r="E196" s="5">
        <v>3</v>
      </c>
      <c r="F196" s="7">
        <v>0.42857142857142855</v>
      </c>
      <c r="G196" s="8" t="s">
        <v>12</v>
      </c>
      <c r="H196" s="8" t="s">
        <v>13</v>
      </c>
      <c r="I196" s="8" t="s">
        <v>11</v>
      </c>
    </row>
    <row r="197" spans="1:9" x14ac:dyDescent="0.3">
      <c r="A197" s="4" t="str">
        <v>DOM294</v>
      </c>
      <c r="B197" s="4" t="str">
        <f>_xlfn.XLOOKUP(A197,[1]!Tabla2[dispositivo],[1]!Tabla2[ubicación],"REVISAR")</f>
        <v>Av. Soldati Y Honduras</v>
      </c>
      <c r="C197" s="5">
        <v>1</v>
      </c>
      <c r="D197" s="6">
        <v>0.14285714285714285</v>
      </c>
      <c r="E197" s="5">
        <v>1</v>
      </c>
      <c r="F197" s="7">
        <v>0.14285714285714285</v>
      </c>
      <c r="G197" s="8" t="s">
        <v>9</v>
      </c>
      <c r="H197" s="8" t="s">
        <v>10</v>
      </c>
      <c r="I197" s="8" t="s">
        <v>11</v>
      </c>
    </row>
    <row r="198" spans="1:9" x14ac:dyDescent="0.3">
      <c r="A198" s="4" t="str">
        <v>DOM295</v>
      </c>
      <c r="B198" s="4" t="str">
        <f>_xlfn.XLOOKUP(A198,[1]!Tabla2[dispositivo],[1]!Tabla2[ubicación],"REVISAR")</f>
        <v>Estados Unidos Y Celedonio Gutierrez</v>
      </c>
      <c r="C198" s="5">
        <v>1</v>
      </c>
      <c r="D198" s="6">
        <v>0.14285714285714285</v>
      </c>
      <c r="E198" s="5">
        <v>1</v>
      </c>
      <c r="F198" s="7">
        <v>0.14285714285714285</v>
      </c>
      <c r="G198" s="8" t="s">
        <v>9</v>
      </c>
      <c r="H198" s="8" t="s">
        <v>10</v>
      </c>
      <c r="I198" s="8" t="s">
        <v>11</v>
      </c>
    </row>
    <row r="199" spans="1:9" x14ac:dyDescent="0.3">
      <c r="A199" s="4" t="str">
        <v>DOM296</v>
      </c>
      <c r="B199" s="4" t="str">
        <f>_xlfn.XLOOKUP(A199,[1]!Tabla2[dispositivo],[1]!Tabla2[ubicación],"REVISAR")</f>
        <v>Av. Soldati Y Prospero Garcia</v>
      </c>
      <c r="C199" s="5">
        <v>1</v>
      </c>
      <c r="D199" s="6">
        <v>0.14285714285714285</v>
      </c>
      <c r="E199" s="5">
        <v>1</v>
      </c>
      <c r="F199" s="7">
        <v>0.14285714285714285</v>
      </c>
      <c r="G199" s="8" t="s">
        <v>9</v>
      </c>
      <c r="H199" s="8" t="s">
        <v>10</v>
      </c>
      <c r="I199" s="8" t="s">
        <v>11</v>
      </c>
    </row>
    <row r="200" spans="1:9" x14ac:dyDescent="0.3">
      <c r="A200" s="4" t="str">
        <v>DOM297</v>
      </c>
      <c r="B200" s="4" t="str">
        <f>_xlfn.XLOOKUP(A200,[1]!Tabla2[dispositivo],[1]!Tabla2[ubicación],"REVISAR")</f>
        <v>Av. Gdor Del Campo Y Celedonio Gutierrez</v>
      </c>
      <c r="C200" s="5">
        <v>5</v>
      </c>
      <c r="D200" s="6">
        <v>0.7142857142857143</v>
      </c>
      <c r="E200" s="5">
        <v>2</v>
      </c>
      <c r="F200" s="7">
        <v>0.2857142857142857</v>
      </c>
      <c r="G200" s="8" t="s">
        <v>16</v>
      </c>
      <c r="H200" s="8" t="s">
        <v>17</v>
      </c>
      <c r="I200" s="8" t="s">
        <v>11</v>
      </c>
    </row>
    <row r="201" spans="1:9" x14ac:dyDescent="0.3">
      <c r="A201" s="4" t="str">
        <v>DOM300</v>
      </c>
      <c r="B201" s="4" t="str">
        <f>_xlfn.XLOOKUP(A201,[1]!Tabla2[dispositivo],[1]!Tabla2[ubicación],"REVISAR")</f>
        <v>Av. Sarmiento (puente)</v>
      </c>
      <c r="C201" s="5">
        <v>1</v>
      </c>
      <c r="D201" s="6">
        <v>0.14285714285714285</v>
      </c>
      <c r="E201" s="5">
        <v>1</v>
      </c>
      <c r="F201" s="7">
        <v>0.14285714285714285</v>
      </c>
      <c r="G201" s="8" t="s">
        <v>9</v>
      </c>
      <c r="H201" s="8" t="s">
        <v>10</v>
      </c>
      <c r="I201" s="8" t="s">
        <v>11</v>
      </c>
    </row>
    <row r="202" spans="1:9" x14ac:dyDescent="0.3">
      <c r="A202" s="4" t="str">
        <v>DOM305</v>
      </c>
      <c r="B202" s="4" t="str">
        <f>_xlfn.XLOOKUP(A202,[1]!Tabla2[dispositivo],[1]!Tabla2[ubicación],"REVISAR")</f>
        <v>Adolfo De La Vega Y Lamadrid</v>
      </c>
      <c r="C202" s="5">
        <v>1</v>
      </c>
      <c r="D202" s="6">
        <v>0.14285714285714285</v>
      </c>
      <c r="E202" s="5">
        <v>1</v>
      </c>
      <c r="F202" s="7">
        <v>0.14285714285714285</v>
      </c>
      <c r="G202" s="8" t="s">
        <v>9</v>
      </c>
      <c r="H202" s="8" t="s">
        <v>10</v>
      </c>
      <c r="I202" s="8" t="s">
        <v>11</v>
      </c>
    </row>
    <row r="203" spans="1:9" x14ac:dyDescent="0.3">
      <c r="A203" s="4" t="str">
        <v>DOM310</v>
      </c>
      <c r="B203" s="4" t="str">
        <f>_xlfn.XLOOKUP(A203,[1]!Tabla2[dispositivo],[1]!Tabla2[ubicación],"REVISAR")</f>
        <v>Av. Mate De Luna Y Viamonte</v>
      </c>
      <c r="C203" s="5">
        <v>1</v>
      </c>
      <c r="D203" s="6">
        <v>0.14285714285714285</v>
      </c>
      <c r="E203" s="5">
        <v>1</v>
      </c>
      <c r="F203" s="7">
        <v>0.14285714285714285</v>
      </c>
      <c r="G203" s="8" t="s">
        <v>9</v>
      </c>
      <c r="H203" s="8" t="s">
        <v>10</v>
      </c>
      <c r="I203" s="8" t="s">
        <v>11</v>
      </c>
    </row>
    <row r="204" spans="1:9" x14ac:dyDescent="0.3">
      <c r="A204" s="4" t="str">
        <v>DOM311</v>
      </c>
      <c r="B204" s="4" t="str">
        <f>_xlfn.XLOOKUP(A204,[1]!Tabla2[dispositivo],[1]!Tabla2[ubicación],"REVISAR")</f>
        <v>Av. Mate De Luna Y Necochea</v>
      </c>
      <c r="C204" s="5">
        <v>1</v>
      </c>
      <c r="D204" s="6">
        <v>0.14285714285714285</v>
      </c>
      <c r="E204" s="5">
        <v>1</v>
      </c>
      <c r="F204" s="7">
        <v>0.14285714285714285</v>
      </c>
      <c r="G204" s="8" t="s">
        <v>9</v>
      </c>
      <c r="H204" s="8" t="s">
        <v>10</v>
      </c>
      <c r="I204" s="8" t="s">
        <v>11</v>
      </c>
    </row>
    <row r="205" spans="1:9" x14ac:dyDescent="0.3">
      <c r="A205" s="4" t="str">
        <v>DOM313</v>
      </c>
      <c r="B205" s="4" t="str">
        <f>_xlfn.XLOOKUP(A205,[1]!Tabla2[dispositivo],[1]!Tabla2[ubicación],"REVISAR")</f>
        <v>Av. Mate De Luna Y Colon</v>
      </c>
      <c r="C205" s="5">
        <v>2</v>
      </c>
      <c r="D205" s="6">
        <v>0.2857142857142857</v>
      </c>
      <c r="E205" s="5">
        <v>2</v>
      </c>
      <c r="F205" s="7">
        <v>0.2857142857142857</v>
      </c>
      <c r="G205" s="8" t="s">
        <v>9</v>
      </c>
      <c r="H205" s="8" t="s">
        <v>10</v>
      </c>
      <c r="I205" s="8" t="s">
        <v>11</v>
      </c>
    </row>
    <row r="206" spans="1:9" x14ac:dyDescent="0.3">
      <c r="A206" s="4" t="str">
        <v>DOM318</v>
      </c>
      <c r="B206" s="4" t="str">
        <f>_xlfn.XLOOKUP(A206,[1]!Tabla2[dispositivo],[1]!Tabla2[ubicación],"REVISAR")</f>
        <v>Av. Roca Y Frias Silva</v>
      </c>
      <c r="C206" s="5">
        <v>1</v>
      </c>
      <c r="D206" s="6">
        <v>0.14285714285714285</v>
      </c>
      <c r="E206" s="5">
        <v>1</v>
      </c>
      <c r="F206" s="7">
        <v>0.14285714285714285</v>
      </c>
      <c r="G206" s="8" t="s">
        <v>9</v>
      </c>
      <c r="H206" s="8" t="s">
        <v>10</v>
      </c>
      <c r="I206" s="8" t="s">
        <v>11</v>
      </c>
    </row>
    <row r="207" spans="1:9" x14ac:dyDescent="0.3">
      <c r="A207" s="4" t="str">
        <v>DOM319</v>
      </c>
      <c r="B207" s="4" t="str">
        <f>_xlfn.XLOOKUP(A207,[1]!Tabla2[dispositivo],[1]!Tabla2[ubicación],"REVISAR")</f>
        <v>Av. Roca Y Libertad</v>
      </c>
      <c r="C207" s="5">
        <v>2</v>
      </c>
      <c r="D207" s="6">
        <v>0.2857142857142857</v>
      </c>
      <c r="E207" s="5">
        <v>1</v>
      </c>
      <c r="F207" s="7">
        <v>0.14285714285714285</v>
      </c>
      <c r="G207" s="8" t="s">
        <v>9</v>
      </c>
      <c r="H207" s="8" t="s">
        <v>10</v>
      </c>
      <c r="I207" s="8" t="s">
        <v>11</v>
      </c>
    </row>
    <row r="208" spans="1:9" x14ac:dyDescent="0.3">
      <c r="A208" s="4" t="str">
        <v>DOM320</v>
      </c>
      <c r="B208" s="4" t="str">
        <f>_xlfn.XLOOKUP(A208,[1]!Tabla2[dispositivo],[1]!Tabla2[ubicación],"REVISAR")</f>
        <v>Av. Roca Y Prospero Mena</v>
      </c>
      <c r="C208" s="5">
        <v>2</v>
      </c>
      <c r="D208" s="6">
        <v>0.2857142857142857</v>
      </c>
      <c r="E208" s="5">
        <v>2</v>
      </c>
      <c r="F208" s="7">
        <v>0.2857142857142857</v>
      </c>
      <c r="G208" s="8" t="s">
        <v>9</v>
      </c>
      <c r="H208" s="8" t="s">
        <v>10</v>
      </c>
      <c r="I208" s="8" t="s">
        <v>11</v>
      </c>
    </row>
    <row r="209" spans="1:9" x14ac:dyDescent="0.3">
      <c r="A209" s="4" t="str">
        <v>DOM322</v>
      </c>
      <c r="B209" s="4" t="str">
        <f>_xlfn.XLOOKUP(A209,[1]!Tabla2[dispositivo],[1]!Tabla2[ubicación],"REVISAR")</f>
        <v>Av. Roca Y Miguel Lillo</v>
      </c>
      <c r="C209" s="5">
        <v>2</v>
      </c>
      <c r="D209" s="6">
        <v>0.2857142857142857</v>
      </c>
      <c r="E209" s="5">
        <v>2</v>
      </c>
      <c r="F209" s="7">
        <v>0.2857142857142857</v>
      </c>
      <c r="G209" s="8" t="s">
        <v>9</v>
      </c>
      <c r="H209" s="8" t="s">
        <v>10</v>
      </c>
      <c r="I209" s="8" t="s">
        <v>11</v>
      </c>
    </row>
    <row r="210" spans="1:9" x14ac:dyDescent="0.3">
      <c r="A210" s="4" t="str">
        <v>DOM325</v>
      </c>
      <c r="B210" s="4" t="str">
        <f>_xlfn.XLOOKUP(A210,[1]!Tabla2[dispositivo],[1]!Tabla2[ubicación],"REVISAR")</f>
        <v>Las Piedras Y Prospero Mena</v>
      </c>
      <c r="C210" s="5">
        <v>1</v>
      </c>
      <c r="D210" s="6">
        <v>0.14285714285714285</v>
      </c>
      <c r="E210" s="5">
        <v>1</v>
      </c>
      <c r="F210" s="7">
        <v>0.14285714285714285</v>
      </c>
      <c r="G210" s="8" t="s">
        <v>9</v>
      </c>
      <c r="H210" s="8" t="s">
        <v>10</v>
      </c>
      <c r="I210" s="8" t="s">
        <v>11</v>
      </c>
    </row>
    <row r="211" spans="1:9" x14ac:dyDescent="0.3">
      <c r="A211" s="4" t="str">
        <v>DOM328</v>
      </c>
      <c r="B211" s="4" t="str">
        <f>_xlfn.XLOOKUP(A211,[1]!Tabla2[dispositivo],[1]!Tabla2[ubicación],"REVISAR")</f>
        <v>Av. Alem Y Rondeau</v>
      </c>
      <c r="C211" s="5">
        <v>2</v>
      </c>
      <c r="D211" s="6">
        <v>0.2857142857142857</v>
      </c>
      <c r="E211" s="5">
        <v>2</v>
      </c>
      <c r="F211" s="7">
        <v>0.2857142857142857</v>
      </c>
      <c r="G211" s="8" t="s">
        <v>9</v>
      </c>
      <c r="H211" s="8" t="s">
        <v>10</v>
      </c>
      <c r="I211" s="8" t="s">
        <v>11</v>
      </c>
    </row>
    <row r="212" spans="1:9" x14ac:dyDescent="0.3">
      <c r="A212" s="4" t="str">
        <v>DOM329</v>
      </c>
      <c r="B212" s="4" t="str">
        <f>_xlfn.XLOOKUP(A212,[1]!Tabla2[dispositivo],[1]!Tabla2[ubicación],"REVISAR")</f>
        <v>Av. Alem Y Bolivar</v>
      </c>
      <c r="C212" s="5">
        <v>5</v>
      </c>
      <c r="D212" s="6">
        <v>0.7142857142857143</v>
      </c>
      <c r="E212" s="5">
        <v>3</v>
      </c>
      <c r="F212" s="7">
        <v>0.42857142857142855</v>
      </c>
      <c r="G212" s="8" t="s">
        <v>16</v>
      </c>
      <c r="H212" s="8" t="s">
        <v>17</v>
      </c>
      <c r="I212" s="8" t="s">
        <v>11</v>
      </c>
    </row>
    <row r="213" spans="1:9" x14ac:dyDescent="0.3">
      <c r="A213" s="4" t="str">
        <v>DOM330</v>
      </c>
      <c r="B213" s="4" t="str">
        <f>_xlfn.XLOOKUP(A213,[1]!Tabla2[dispositivo],[1]!Tabla2[ubicación],"REVISAR")</f>
        <v>Av. Alem Y Lavalle</v>
      </c>
      <c r="C213" s="5">
        <v>1</v>
      </c>
      <c r="D213" s="6">
        <v>0.14285714285714285</v>
      </c>
      <c r="E213" s="5">
        <v>1</v>
      </c>
      <c r="F213" s="7">
        <v>0.14285714285714285</v>
      </c>
      <c r="G213" s="8" t="s">
        <v>9</v>
      </c>
      <c r="H213" s="8" t="s">
        <v>10</v>
      </c>
      <c r="I213" s="8" t="s">
        <v>11</v>
      </c>
    </row>
    <row r="214" spans="1:9" x14ac:dyDescent="0.3">
      <c r="A214" s="4" t="str">
        <v>DOM331</v>
      </c>
      <c r="B214" s="4" t="str">
        <f>_xlfn.XLOOKUP(A214,[1]!Tabla2[dispositivo],[1]!Tabla2[ubicación],"REVISAR")</f>
        <v>Av. Alem Y Gral Paz</v>
      </c>
      <c r="C214" s="5">
        <v>3</v>
      </c>
      <c r="D214" s="6">
        <v>0.42857142857142855</v>
      </c>
      <c r="E214" s="5">
        <v>3</v>
      </c>
      <c r="F214" s="7">
        <v>0.42857142857142855</v>
      </c>
      <c r="G214" s="8" t="s">
        <v>14</v>
      </c>
      <c r="H214" s="8" t="s">
        <v>15</v>
      </c>
      <c r="I214" s="8" t="s">
        <v>11</v>
      </c>
    </row>
    <row r="215" spans="1:9" x14ac:dyDescent="0.3">
      <c r="A215" s="4" t="str">
        <v>DOM332</v>
      </c>
      <c r="B215" s="4" t="str">
        <f>_xlfn.XLOOKUP(A215,[1]!Tabla2[dispositivo],[1]!Tabla2[ubicación],"REVISAR")</f>
        <v>Av. Alem Y Las Piedras</v>
      </c>
      <c r="C215" s="5">
        <v>2</v>
      </c>
      <c r="D215" s="6">
        <v>0.2857142857142857</v>
      </c>
      <c r="E215" s="5">
        <v>2</v>
      </c>
      <c r="F215" s="7">
        <v>0.2857142857142857</v>
      </c>
      <c r="G215" s="8" t="s">
        <v>9</v>
      </c>
      <c r="H215" s="8" t="s">
        <v>10</v>
      </c>
      <c r="I215" s="8" t="s">
        <v>11</v>
      </c>
    </row>
    <row r="216" spans="1:9" x14ac:dyDescent="0.3">
      <c r="A216" s="4" t="str">
        <v>DOM333</v>
      </c>
      <c r="B216" s="4" t="str">
        <f>_xlfn.XLOOKUP(A216,[1]!Tabla2[dispositivo],[1]!Tabla2[ubicación],"REVISAR")</f>
        <v>Av. Alem Y San Lorenzo</v>
      </c>
      <c r="C216" s="5">
        <v>2</v>
      </c>
      <c r="D216" s="6">
        <v>0.2857142857142857</v>
      </c>
      <c r="E216" s="5">
        <v>2</v>
      </c>
      <c r="F216" s="7">
        <v>0.2857142857142857</v>
      </c>
      <c r="G216" s="8" t="s">
        <v>9</v>
      </c>
      <c r="H216" s="8" t="s">
        <v>10</v>
      </c>
      <c r="I216" s="8" t="s">
        <v>11</v>
      </c>
    </row>
    <row r="217" spans="1:9" x14ac:dyDescent="0.3">
      <c r="A217" s="4" t="str">
        <v>DOM334</v>
      </c>
      <c r="B217" s="4" t="str">
        <f>_xlfn.XLOOKUP(A217,[1]!Tabla2[dispositivo],[1]!Tabla2[ubicación],"REVISAR")</f>
        <v>Santiago Y 12 De Octubre</v>
      </c>
      <c r="C217" s="5">
        <v>1</v>
      </c>
      <c r="D217" s="6">
        <v>0.14285714285714285</v>
      </c>
      <c r="E217" s="5">
        <v>1</v>
      </c>
      <c r="F217" s="7">
        <v>0.14285714285714285</v>
      </c>
      <c r="G217" s="8" t="s">
        <v>9</v>
      </c>
      <c r="H217" s="8" t="s">
        <v>10</v>
      </c>
      <c r="I217" s="8" t="s">
        <v>11</v>
      </c>
    </row>
    <row r="218" spans="1:9" x14ac:dyDescent="0.3">
      <c r="A218" s="4" t="str">
        <v>DOM336</v>
      </c>
      <c r="B218" s="4" t="str">
        <f>_xlfn.XLOOKUP(A218,[1]!Tabla2[dispositivo],[1]!Tabla2[ubicación],"REVISAR")</f>
        <v>Santa Fe Y Lucas Cordoba</v>
      </c>
      <c r="C218" s="5">
        <v>2</v>
      </c>
      <c r="D218" s="6">
        <v>0.2857142857142857</v>
      </c>
      <c r="E218" s="5">
        <v>2</v>
      </c>
      <c r="F218" s="7">
        <v>0.2857142857142857</v>
      </c>
      <c r="G218" s="8" t="s">
        <v>9</v>
      </c>
      <c r="H218" s="8" t="s">
        <v>10</v>
      </c>
      <c r="I218" s="8" t="s">
        <v>11</v>
      </c>
    </row>
    <row r="219" spans="1:9" x14ac:dyDescent="0.3">
      <c r="A219" s="4" t="str">
        <v>DOM339</v>
      </c>
      <c r="B219" s="4" t="str">
        <f>_xlfn.XLOOKUP(A219,[1]!Tabla2[dispositivo],[1]!Tabla2[ubicación],"REVISAR")</f>
        <v>Chile Y Laprida</v>
      </c>
      <c r="C219" s="5">
        <v>4</v>
      </c>
      <c r="D219" s="6">
        <v>0.5714285714285714</v>
      </c>
      <c r="E219" s="5">
        <v>3</v>
      </c>
      <c r="F219" s="7">
        <v>0.42857142857142855</v>
      </c>
      <c r="G219" s="8" t="s">
        <v>12</v>
      </c>
      <c r="H219" s="8" t="s">
        <v>13</v>
      </c>
      <c r="I219" s="8" t="s">
        <v>11</v>
      </c>
    </row>
    <row r="220" spans="1:9" x14ac:dyDescent="0.3">
      <c r="A220" s="4" t="str">
        <v>DOM345</v>
      </c>
      <c r="B220" s="4" t="str">
        <f>_xlfn.XLOOKUP(A220,[1]!Tabla2[dispositivo],[1]!Tabla2[ubicación],"REVISAR")</f>
        <v>Av. Gdor Del Campo Y Luis Nougues</v>
      </c>
      <c r="C220" s="5">
        <v>1</v>
      </c>
      <c r="D220" s="6">
        <v>0.14285714285714285</v>
      </c>
      <c r="E220" s="5">
        <v>1</v>
      </c>
      <c r="F220" s="7">
        <v>0.14285714285714285</v>
      </c>
      <c r="G220" s="8" t="s">
        <v>9</v>
      </c>
      <c r="H220" s="8" t="s">
        <v>10</v>
      </c>
      <c r="I220" s="8" t="s">
        <v>11</v>
      </c>
    </row>
    <row r="221" spans="1:9" x14ac:dyDescent="0.3">
      <c r="A221" s="4" t="str">
        <v>DOM346</v>
      </c>
      <c r="B221" s="4" t="str">
        <f>_xlfn.XLOOKUP(A221,[1]!Tabla2[dispositivo],[1]!Tabla2[ubicación],"REVISAR")</f>
        <v>Av. Gdor Del Campo Y Juan Posse</v>
      </c>
      <c r="C221" s="5">
        <v>2</v>
      </c>
      <c r="D221" s="6">
        <v>0.2857142857142857</v>
      </c>
      <c r="E221" s="5">
        <v>1</v>
      </c>
      <c r="F221" s="7">
        <v>0.14285714285714285</v>
      </c>
      <c r="G221" s="8" t="s">
        <v>9</v>
      </c>
      <c r="H221" s="8" t="s">
        <v>10</v>
      </c>
      <c r="I221" s="8" t="s">
        <v>11</v>
      </c>
    </row>
    <row r="222" spans="1:9" x14ac:dyDescent="0.3">
      <c r="A222" s="4" t="str">
        <v>DOM347</v>
      </c>
      <c r="B222" s="4" t="str">
        <f>_xlfn.XLOOKUP(A222,[1]!Tabla2[dispositivo],[1]!Tabla2[ubicación],"REVISAR")</f>
        <v>Av. Dgor Del Campo Y Justo De La Vega</v>
      </c>
      <c r="C222" s="5">
        <v>2</v>
      </c>
      <c r="D222" s="6">
        <v>0.2857142857142857</v>
      </c>
      <c r="E222" s="5">
        <v>1</v>
      </c>
      <c r="F222" s="7">
        <v>0.14285714285714285</v>
      </c>
      <c r="G222" s="8" t="s">
        <v>9</v>
      </c>
      <c r="H222" s="8" t="s">
        <v>10</v>
      </c>
      <c r="I222" s="8" t="s">
        <v>11</v>
      </c>
    </row>
    <row r="223" spans="1:9" x14ac:dyDescent="0.3">
      <c r="A223" s="4" t="str">
        <v>DOM350</v>
      </c>
      <c r="B223" s="4" t="str">
        <f>_xlfn.XLOOKUP(A223,[1]!Tabla2[dispositivo],[1]!Tabla2[ubicación],"REVISAR")</f>
        <v>Av. Gdor Del Campo Y Estanislao Del Campo</v>
      </c>
      <c r="C223" s="5">
        <v>2</v>
      </c>
      <c r="D223" s="6">
        <v>0.2857142857142857</v>
      </c>
      <c r="E223" s="5">
        <v>2</v>
      </c>
      <c r="F223" s="7">
        <v>0.2857142857142857</v>
      </c>
      <c r="G223" s="8" t="s">
        <v>9</v>
      </c>
      <c r="H223" s="8" t="s">
        <v>10</v>
      </c>
      <c r="I223" s="8" t="s">
        <v>11</v>
      </c>
    </row>
    <row r="224" spans="1:9" x14ac:dyDescent="0.3">
      <c r="A224" s="4" t="str">
        <v>DOM351</v>
      </c>
      <c r="B224" s="4" t="str">
        <f>_xlfn.XLOOKUP(A224,[1]!Tabla2[dispositivo],[1]!Tabla2[ubicación],"REVISAR")</f>
        <v>Av. Gdor Del Campo Y Guirades</v>
      </c>
      <c r="C224" s="5">
        <v>1</v>
      </c>
      <c r="D224" s="6">
        <v>0.14285714285714285</v>
      </c>
      <c r="E224" s="5">
        <v>1</v>
      </c>
      <c r="F224" s="7">
        <v>0.14285714285714285</v>
      </c>
      <c r="G224" s="8" t="s">
        <v>9</v>
      </c>
      <c r="H224" s="8" t="s">
        <v>10</v>
      </c>
      <c r="I224" s="8" t="s">
        <v>11</v>
      </c>
    </row>
    <row r="225" spans="1:9" x14ac:dyDescent="0.3">
      <c r="A225" s="4" t="str">
        <v>DOM352</v>
      </c>
      <c r="B225" s="4" t="str">
        <f>_xlfn.XLOOKUP(A225,[1]!Tabla2[dispositivo],[1]!Tabla2[ubicación],"REVISAR")</f>
        <v>Av. Gdor Del Campo Y Dr Alfredo Palacios</v>
      </c>
      <c r="C225" s="5">
        <v>1</v>
      </c>
      <c r="D225" s="6">
        <v>0.14285714285714285</v>
      </c>
      <c r="E225" s="5">
        <v>1</v>
      </c>
      <c r="F225" s="7">
        <v>0.14285714285714285</v>
      </c>
      <c r="G225" s="8" t="s">
        <v>9</v>
      </c>
      <c r="H225" s="8" t="s">
        <v>10</v>
      </c>
      <c r="I225" s="8" t="s">
        <v>11</v>
      </c>
    </row>
    <row r="226" spans="1:9" x14ac:dyDescent="0.3">
      <c r="A226" s="4" t="str">
        <v>DOM357</v>
      </c>
      <c r="B226" s="4" t="str">
        <f>_xlfn.XLOOKUP(A226,[1]!Tabla2[dispositivo],[1]!Tabla2[ubicación],"REVISAR")</f>
        <v>Av. Benjamin Araoz Y Prov De Formosa</v>
      </c>
      <c r="C226" s="5">
        <v>2</v>
      </c>
      <c r="D226" s="6">
        <v>0.2857142857142857</v>
      </c>
      <c r="E226" s="5">
        <v>2</v>
      </c>
      <c r="F226" s="7">
        <v>0.2857142857142857</v>
      </c>
      <c r="G226" s="8" t="s">
        <v>9</v>
      </c>
      <c r="H226" s="8" t="s">
        <v>10</v>
      </c>
      <c r="I226" s="8" t="s">
        <v>11</v>
      </c>
    </row>
    <row r="227" spans="1:9" x14ac:dyDescent="0.3">
      <c r="A227" s="4" t="str">
        <v>DOM358</v>
      </c>
      <c r="B227" s="4" t="str">
        <f>_xlfn.XLOOKUP(A227,[1]!Tabla2[dispositivo],[1]!Tabla2[ubicación],"REVISAR")</f>
        <v>Av. Benjamin Araoz 851</v>
      </c>
      <c r="C227" s="5">
        <v>2</v>
      </c>
      <c r="D227" s="6">
        <v>0.2857142857142857</v>
      </c>
      <c r="E227" s="5">
        <v>2</v>
      </c>
      <c r="F227" s="7">
        <v>0.2857142857142857</v>
      </c>
      <c r="G227" s="8" t="s">
        <v>9</v>
      </c>
      <c r="H227" s="8" t="s">
        <v>10</v>
      </c>
      <c r="I227" s="8" t="s">
        <v>11</v>
      </c>
    </row>
    <row r="228" spans="1:9" x14ac:dyDescent="0.3">
      <c r="A228" s="4" t="str">
        <v>DOM359</v>
      </c>
      <c r="B228" s="4" t="str">
        <f>_xlfn.XLOOKUP(A228,[1]!Tabla2[dispositivo],[1]!Tabla2[ubicación],"REVISAR")</f>
        <v>Av. Benjamin Araoz Y Av. Papa Francisco</v>
      </c>
      <c r="C228" s="5">
        <v>1</v>
      </c>
      <c r="D228" s="6">
        <v>0.14285714285714285</v>
      </c>
      <c r="E228" s="5">
        <v>1</v>
      </c>
      <c r="F228" s="7">
        <v>0.14285714285714285</v>
      </c>
      <c r="G228" s="8" t="s">
        <v>9</v>
      </c>
      <c r="H228" s="8" t="s">
        <v>10</v>
      </c>
      <c r="I228" s="8" t="s">
        <v>11</v>
      </c>
    </row>
    <row r="229" spans="1:9" x14ac:dyDescent="0.3">
      <c r="A229" s="4" t="str">
        <v>DOM362</v>
      </c>
      <c r="B229" s="4" t="str">
        <f>_xlfn.XLOOKUP(A229,[1]!Tabla2[dispositivo],[1]!Tabla2[ubicación],"REVISAR")</f>
        <v>Av. Papa Francisco Y Entrada A La Terminal</v>
      </c>
      <c r="C229" s="5">
        <v>2</v>
      </c>
      <c r="D229" s="6">
        <v>0.2857142857142857</v>
      </c>
      <c r="E229" s="5">
        <v>2</v>
      </c>
      <c r="F229" s="7">
        <v>0.2857142857142857</v>
      </c>
      <c r="G229" s="8" t="s">
        <v>9</v>
      </c>
      <c r="H229" s="8" t="s">
        <v>10</v>
      </c>
      <c r="I229" s="8" t="s">
        <v>11</v>
      </c>
    </row>
    <row r="230" spans="1:9" x14ac:dyDescent="0.3">
      <c r="A230" s="4" t="str">
        <v>DOM365</v>
      </c>
      <c r="B230" s="4" t="str">
        <f>_xlfn.XLOOKUP(A230,[1]!Tabla2[dispositivo],[1]!Tabla2[ubicación],"REVISAR")</f>
        <v>Av. Pedro Miguel Araoz Y Av. Leguizamo</v>
      </c>
      <c r="C230" s="5">
        <v>2</v>
      </c>
      <c r="D230" s="6">
        <v>0.2857142857142857</v>
      </c>
      <c r="E230" s="5">
        <v>1</v>
      </c>
      <c r="F230" s="7">
        <v>0.14285714285714285</v>
      </c>
      <c r="G230" s="8" t="s">
        <v>9</v>
      </c>
      <c r="H230" s="8" t="s">
        <v>10</v>
      </c>
      <c r="I230" s="8" t="s">
        <v>11</v>
      </c>
    </row>
    <row r="231" spans="1:9" x14ac:dyDescent="0.3">
      <c r="A231" s="4" t="str">
        <v>DOM367</v>
      </c>
      <c r="B231" s="4" t="str">
        <f>_xlfn.XLOOKUP(A231,[1]!Tabla2[dispositivo],[1]!Tabla2[ubicación],"REVISAR")</f>
        <v>Rotonda San Miguel</v>
      </c>
      <c r="C231" s="5">
        <v>1</v>
      </c>
      <c r="D231" s="6">
        <v>0.14285714285714285</v>
      </c>
      <c r="E231" s="5">
        <v>1</v>
      </c>
      <c r="F231" s="7">
        <v>0.14285714285714285</v>
      </c>
      <c r="G231" s="8" t="s">
        <v>9</v>
      </c>
      <c r="H231" s="8" t="s">
        <v>10</v>
      </c>
      <c r="I231" s="8" t="s">
        <v>11</v>
      </c>
    </row>
    <row r="232" spans="1:9" x14ac:dyDescent="0.3">
      <c r="A232" s="4" t="str">
        <v>DOM369</v>
      </c>
      <c r="B232" s="4" t="str">
        <f>_xlfn.XLOOKUP(A232,[1]!Tabla2[dispositivo],[1]!Tabla2[ubicación],"REVISAR")</f>
        <v>24 De Septiembre Y 9 De Julio</v>
      </c>
      <c r="C232" s="5">
        <v>2</v>
      </c>
      <c r="D232" s="6">
        <v>0.2857142857142857</v>
      </c>
      <c r="E232" s="5">
        <v>1</v>
      </c>
      <c r="F232" s="7">
        <v>0.14285714285714285</v>
      </c>
      <c r="G232" s="8" t="s">
        <v>9</v>
      </c>
      <c r="H232" s="8" t="s">
        <v>10</v>
      </c>
      <c r="I232" s="8" t="s">
        <v>11</v>
      </c>
    </row>
    <row r="233" spans="1:9" x14ac:dyDescent="0.3">
      <c r="A233" s="4" t="str">
        <v>DOM373</v>
      </c>
      <c r="B233" s="4" t="str">
        <f>_xlfn.XLOOKUP(A233,[1]!Tabla2[dispositivo],[1]!Tabla2[ubicación],"REVISAR")</f>
        <v>Av. Juan B Justo E Italia</v>
      </c>
      <c r="C233" s="5">
        <v>3</v>
      </c>
      <c r="D233" s="6">
        <v>0.42857142857142855</v>
      </c>
      <c r="E233" s="5">
        <v>2</v>
      </c>
      <c r="F233" s="7">
        <v>0.2857142857142857</v>
      </c>
      <c r="G233" s="8" t="s">
        <v>14</v>
      </c>
      <c r="H233" s="8" t="s">
        <v>15</v>
      </c>
      <c r="I233" s="8" t="s">
        <v>11</v>
      </c>
    </row>
    <row r="234" spans="1:9" x14ac:dyDescent="0.3">
      <c r="A234" s="4" t="str">
        <v>DOM374</v>
      </c>
      <c r="B234" s="4" t="str">
        <f>_xlfn.XLOOKUP(A234,[1]!Tabla2[dispositivo],[1]!Tabla2[ubicación],"REVISAR")</f>
        <v>Juramento Y Benjamin Villafañe</v>
      </c>
      <c r="C234" s="5">
        <v>1</v>
      </c>
      <c r="D234" s="6">
        <v>0.14285714285714285</v>
      </c>
      <c r="E234" s="5">
        <v>1</v>
      </c>
      <c r="F234" s="7">
        <v>0.14285714285714285</v>
      </c>
      <c r="G234" s="8" t="s">
        <v>9</v>
      </c>
      <c r="H234" s="8" t="s">
        <v>10</v>
      </c>
      <c r="I234" s="8" t="s">
        <v>11</v>
      </c>
    </row>
    <row r="235" spans="1:9" x14ac:dyDescent="0.3">
      <c r="A235" s="4" t="str">
        <v>DOM378</v>
      </c>
      <c r="B235" s="4" t="str">
        <f>_xlfn.XLOOKUP(A235,[1]!Tabla2[dispositivo],[1]!Tabla2[ubicación],"REVISAR")</f>
        <v>Av. Cnel Suarez Y Juramento</v>
      </c>
      <c r="C235" s="5">
        <v>1</v>
      </c>
      <c r="D235" s="6">
        <v>0.14285714285714285</v>
      </c>
      <c r="E235" s="5">
        <v>1</v>
      </c>
      <c r="F235" s="7">
        <v>0.14285714285714285</v>
      </c>
      <c r="G235" s="8" t="s">
        <v>9</v>
      </c>
      <c r="H235" s="8" t="s">
        <v>10</v>
      </c>
      <c r="I235" s="8" t="s">
        <v>11</v>
      </c>
    </row>
    <row r="236" spans="1:9" x14ac:dyDescent="0.3">
      <c r="A236" s="4" t="str">
        <v>DOM379</v>
      </c>
      <c r="B236" s="4" t="str">
        <f>_xlfn.XLOOKUP(A236,[1]!Tabla2[dispositivo],[1]!Tabla2[ubicación],"REVISAR")</f>
        <v>Av. Independencia Y Güemes</v>
      </c>
      <c r="C236" s="5">
        <v>2</v>
      </c>
      <c r="D236" s="6">
        <v>0.2857142857142857</v>
      </c>
      <c r="E236" s="5">
        <v>2</v>
      </c>
      <c r="F236" s="7">
        <v>0.2857142857142857</v>
      </c>
      <c r="G236" s="8" t="s">
        <v>9</v>
      </c>
      <c r="H236" s="8" t="s">
        <v>10</v>
      </c>
      <c r="I236" s="8" t="s">
        <v>11</v>
      </c>
    </row>
    <row r="237" spans="1:9" x14ac:dyDescent="0.3">
      <c r="A237" s="4" t="str">
        <v>DOM382</v>
      </c>
      <c r="B237" s="4" t="str">
        <f>_xlfn.XLOOKUP(A237,[1]!Tabla2[dispositivo],[1]!Tabla2[ubicación],"REVISAR")</f>
        <v>España Y Laprida</v>
      </c>
      <c r="C237" s="5">
        <v>1</v>
      </c>
      <c r="D237" s="6">
        <v>0.14285714285714285</v>
      </c>
      <c r="E237" s="5">
        <v>1</v>
      </c>
      <c r="F237" s="7">
        <v>0.14285714285714285</v>
      </c>
      <c r="G237" s="8" t="s">
        <v>9</v>
      </c>
      <c r="H237" s="8" t="s">
        <v>10</v>
      </c>
      <c r="I237" s="8" t="s">
        <v>11</v>
      </c>
    </row>
    <row r="238" spans="1:9" x14ac:dyDescent="0.3">
      <c r="A238" s="4" t="str">
        <v>DOM383</v>
      </c>
      <c r="B238" s="4" t="str">
        <f>_xlfn.XLOOKUP(A238,[1]!Tabla2[dispositivo],[1]!Tabla2[ubicación],"REVISAR")</f>
        <v>Av. Benjamin Araoz Y Mario Bravo</v>
      </c>
      <c r="C238" s="5">
        <v>1</v>
      </c>
      <c r="D238" s="6">
        <v>0.14285714285714285</v>
      </c>
      <c r="E238" s="5">
        <v>1</v>
      </c>
      <c r="F238" s="7">
        <v>0.14285714285714285</v>
      </c>
      <c r="G238" s="8" t="s">
        <v>9</v>
      </c>
      <c r="H238" s="8" t="s">
        <v>10</v>
      </c>
      <c r="I238" s="8" t="s">
        <v>11</v>
      </c>
    </row>
    <row r="239" spans="1:9" x14ac:dyDescent="0.3">
      <c r="A239" s="4" t="str">
        <v>DOM386</v>
      </c>
      <c r="B239" s="4" t="str">
        <f>_xlfn.XLOOKUP(A239,[1]!Tabla2[dispositivo],[1]!Tabla2[ubicación],"REVISAR")</f>
        <v>Av. Repubublica De Siria Y España</v>
      </c>
      <c r="C239" s="5">
        <v>2</v>
      </c>
      <c r="D239" s="6">
        <v>0.2857142857142857</v>
      </c>
      <c r="E239" s="5">
        <v>2</v>
      </c>
      <c r="F239" s="7">
        <v>0.2857142857142857</v>
      </c>
      <c r="G239" s="8" t="s">
        <v>9</v>
      </c>
      <c r="H239" s="8" t="s">
        <v>10</v>
      </c>
      <c r="I239" s="8" t="s">
        <v>11</v>
      </c>
    </row>
    <row r="240" spans="1:9" x14ac:dyDescent="0.3">
      <c r="A240" s="4" t="str">
        <v>DOM388</v>
      </c>
      <c r="B240" s="4" t="str">
        <f>_xlfn.XLOOKUP(A240,[1]!Tabla2[dispositivo],[1]!Tabla2[ubicación],"REVISAR")</f>
        <v>Av. Republica De Siria Y Bolivia</v>
      </c>
      <c r="C240" s="5">
        <v>1</v>
      </c>
      <c r="D240" s="6">
        <v>0.14285714285714285</v>
      </c>
      <c r="E240" s="5">
        <v>1</v>
      </c>
      <c r="F240" s="7">
        <v>0.14285714285714285</v>
      </c>
      <c r="G240" s="8" t="s">
        <v>9</v>
      </c>
      <c r="H240" s="8" t="s">
        <v>10</v>
      </c>
      <c r="I240" s="8" t="s">
        <v>11</v>
      </c>
    </row>
    <row r="241" spans="1:9" x14ac:dyDescent="0.3">
      <c r="A241" s="4" t="str">
        <v>DOM390</v>
      </c>
      <c r="B241" s="4" t="str">
        <f>_xlfn.XLOOKUP(A241,[1]!Tabla2[dispositivo],[1]!Tabla2[ubicación],"REVISAR")</f>
        <v>Av. Ejercito Del Norte Y España</v>
      </c>
      <c r="C241" s="5">
        <v>1</v>
      </c>
      <c r="D241" s="6">
        <v>0.14285714285714285</v>
      </c>
      <c r="E241" s="5">
        <v>1</v>
      </c>
      <c r="F241" s="7">
        <v>0.14285714285714285</v>
      </c>
      <c r="G241" s="8" t="s">
        <v>9</v>
      </c>
      <c r="H241" s="8" t="s">
        <v>10</v>
      </c>
      <c r="I241" s="8" t="s">
        <v>11</v>
      </c>
    </row>
    <row r="242" spans="1:9" x14ac:dyDescent="0.3">
      <c r="A242" s="4" t="str">
        <v>DOM391</v>
      </c>
      <c r="B242" s="4" t="str">
        <f>_xlfn.XLOOKUP(A242,[1]!Tabla2[dispositivo],[1]!Tabla2[ubicación],"REVISAR")</f>
        <v>Av. Ejercito Del Norte Y Uruguay</v>
      </c>
      <c r="C242" s="5">
        <v>1</v>
      </c>
      <c r="D242" s="6">
        <v>0.14285714285714285</v>
      </c>
      <c r="E242" s="5">
        <v>1</v>
      </c>
      <c r="F242" s="7">
        <v>0.14285714285714285</v>
      </c>
      <c r="G242" s="8" t="s">
        <v>9</v>
      </c>
      <c r="H242" s="8" t="s">
        <v>10</v>
      </c>
      <c r="I242" s="8" t="s">
        <v>11</v>
      </c>
    </row>
    <row r="243" spans="1:9" x14ac:dyDescent="0.3">
      <c r="A243" s="4" t="str">
        <v>DOM392</v>
      </c>
      <c r="B243" s="4" t="str">
        <f>_xlfn.XLOOKUP(A243,[1]!Tabla2[dispositivo],[1]!Tabla2[ubicación],"REVISAR")</f>
        <v>Lamadrid Y Prospero Mena</v>
      </c>
      <c r="C243" s="5">
        <v>1</v>
      </c>
      <c r="D243" s="6">
        <v>0.14285714285714285</v>
      </c>
      <c r="E243" s="5">
        <v>1</v>
      </c>
      <c r="F243" s="7">
        <v>0.14285714285714285</v>
      </c>
      <c r="G243" s="8" t="s">
        <v>9</v>
      </c>
      <c r="H243" s="8" t="s">
        <v>10</v>
      </c>
      <c r="I243" s="8" t="s">
        <v>11</v>
      </c>
    </row>
    <row r="244" spans="1:9" x14ac:dyDescent="0.3">
      <c r="A244" s="4" t="str">
        <v>DOM396</v>
      </c>
      <c r="B244" s="4" t="str">
        <f>_xlfn.XLOOKUP(A244,[1]!Tabla2[dispositivo],[1]!Tabla2[ubicación],"REVISAR")</f>
        <v>Av. Colon Y Las Piedras</v>
      </c>
      <c r="C244" s="5">
        <v>1</v>
      </c>
      <c r="D244" s="6">
        <v>0.14285714285714285</v>
      </c>
      <c r="E244" s="5">
        <v>1</v>
      </c>
      <c r="F244" s="7">
        <v>0.14285714285714285</v>
      </c>
      <c r="G244" s="8" t="s">
        <v>9</v>
      </c>
      <c r="H244" s="8" t="s">
        <v>10</v>
      </c>
      <c r="I244" s="8" t="s">
        <v>11</v>
      </c>
    </row>
    <row r="245" spans="1:9" x14ac:dyDescent="0.3">
      <c r="A245" s="4" t="str">
        <v>DOM397</v>
      </c>
      <c r="B245" s="4" t="str">
        <f>_xlfn.XLOOKUP(A245,[1]!Tabla2[dispositivo],[1]!Tabla2[ubicación],"REVISAR")</f>
        <v>Las Piedras Y Ernesto Padilla</v>
      </c>
      <c r="C245" s="5">
        <v>1</v>
      </c>
      <c r="D245" s="6">
        <v>0.14285714285714285</v>
      </c>
      <c r="E245" s="5">
        <v>1</v>
      </c>
      <c r="F245" s="7">
        <v>0.14285714285714285</v>
      </c>
      <c r="G245" s="8" t="s">
        <v>9</v>
      </c>
      <c r="H245" s="8" t="s">
        <v>10</v>
      </c>
      <c r="I245" s="8" t="s">
        <v>11</v>
      </c>
    </row>
    <row r="246" spans="1:9" x14ac:dyDescent="0.3">
      <c r="C246" s="9">
        <v>498</v>
      </c>
      <c r="D246" s="10"/>
      <c r="E246" s="9"/>
      <c r="F246" s="9"/>
      <c r="G246" s="9"/>
      <c r="H246" s="9"/>
      <c r="I24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RAUL GARCIA</dc:creator>
  <cp:lastModifiedBy>ANTONIO RAUL GARCIA</cp:lastModifiedBy>
  <dcterms:created xsi:type="dcterms:W3CDTF">2026-08-18T13:33:47Z</dcterms:created>
  <dcterms:modified xsi:type="dcterms:W3CDTF">2026-08-18T13:35:07Z</dcterms:modified>
</cp:coreProperties>
</file>